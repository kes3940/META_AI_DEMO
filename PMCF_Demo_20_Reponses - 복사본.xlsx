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s3940\Desktop\AI_DEMO\"/>
    </mc:Choice>
  </mc:AlternateContent>
  <bookViews>
    <workbookView xWindow="0" yWindow="0" windowWidth="28800" windowHeight="12390"/>
  </bookViews>
  <sheets>
    <sheet name="Raw_Data" sheetId="1" r:id="rId1"/>
    <sheet name="Codebook" sheetId="2" r:id="rId2"/>
    <sheet name="Analysis" sheetId="3" r:id="rId3"/>
  </sheets>
  <calcPr calcId="152511"/>
</workbook>
</file>

<file path=xl/calcChain.xml><?xml version="1.0" encoding="utf-8"?>
<calcChain xmlns="http://schemas.openxmlformats.org/spreadsheetml/2006/main">
  <c r="B29" i="3" l="1"/>
  <c r="B28" i="3"/>
  <c r="B27" i="3"/>
  <c r="B26" i="3"/>
  <c r="B25" i="3"/>
  <c r="E22" i="3"/>
  <c r="E21" i="3"/>
  <c r="E20" i="3"/>
  <c r="B20" i="3"/>
  <c r="E19" i="3"/>
  <c r="B19" i="3"/>
  <c r="E18" i="3"/>
  <c r="B18" i="3"/>
  <c r="E17" i="3"/>
  <c r="B17" i="3"/>
  <c r="B12" i="3"/>
  <c r="B11" i="3"/>
  <c r="F10" i="3"/>
  <c r="B10" i="3"/>
  <c r="F9" i="3"/>
  <c r="B9" i="3"/>
  <c r="F8" i="3"/>
  <c r="B8" i="3"/>
  <c r="F7" i="3"/>
  <c r="B7" i="3"/>
  <c r="F6" i="3"/>
  <c r="B6" i="3"/>
  <c r="B5" i="3"/>
</calcChain>
</file>

<file path=xl/comments1.xml><?xml version="1.0" encoding="utf-8"?>
<comments xmlns="http://schemas.openxmlformats.org/spreadsheetml/2006/main">
  <authors>
    <author>OpenAI</author>
  </authors>
  <commentList>
    <comment ref="A2" authorId="0" shapeId="0">
      <text>
        <r>
          <rPr>
            <sz val="11"/>
            <color theme="1"/>
            <rFont val="Calibri"/>
            <family val="2"/>
            <scheme val="minor"/>
          </rPr>
          <t>Synthetic demo dataset with 20 fictional PMCF responses for platform testing.</t>
        </r>
      </text>
    </comment>
  </commentList>
</comments>
</file>

<file path=xl/sharedStrings.xml><?xml version="1.0" encoding="utf-8"?>
<sst xmlns="http://schemas.openxmlformats.org/spreadsheetml/2006/main" count="670" uniqueCount="257">
  <si>
    <t>Response_ID</t>
  </si>
  <si>
    <t>Surgeon_Name</t>
  </si>
  <si>
    <t>Country</t>
  </si>
  <si>
    <t>Hospital</t>
  </si>
  <si>
    <t>Surgeon_Experience_Years</t>
  </si>
  <si>
    <t>Patient_ID</t>
  </si>
  <si>
    <t>Birth_Year</t>
  </si>
  <si>
    <t>Gender</t>
  </si>
  <si>
    <t>Surgery_Date</t>
  </si>
  <si>
    <t>Followup_Date</t>
  </si>
  <si>
    <t>Followup_Period</t>
  </si>
  <si>
    <t>Procedure_Type</t>
  </si>
  <si>
    <t>Procedure_Other</t>
  </si>
  <si>
    <t>Surgical_Approach</t>
  </si>
  <si>
    <t>Clip_M_Qty</t>
  </si>
  <si>
    <t>Clip_M_Lot</t>
  </si>
  <si>
    <t>Clip_ML_Qty</t>
  </si>
  <si>
    <t>Clip_ML_Lot</t>
  </si>
  <si>
    <t>Clip_L_Qty</t>
  </si>
  <si>
    <t>Clip_L_Lot</t>
  </si>
  <si>
    <t>Clip_XL_Qty</t>
  </si>
  <si>
    <t>Clip_XL_Lot</t>
  </si>
  <si>
    <t>SAE</t>
  </si>
  <si>
    <t>SAE_Desc</t>
  </si>
  <si>
    <t>Hemorrhage</t>
  </si>
  <si>
    <t>Hemorrhage_DeviceRelated</t>
  </si>
  <si>
    <t>Hemorrhage_Intervention</t>
  </si>
  <si>
    <t>Infection</t>
  </si>
  <si>
    <t>Infection_DeviceRelated</t>
  </si>
  <si>
    <t>Migration</t>
  </si>
  <si>
    <t>Migration_Detection</t>
  </si>
  <si>
    <t>Migration_Outcome</t>
  </si>
  <si>
    <t>Ligation_Result</t>
  </si>
  <si>
    <t>Ligation_Failure_Desc</t>
  </si>
  <si>
    <t>Misfiring</t>
  </si>
  <si>
    <t>Slippage</t>
  </si>
  <si>
    <t>Slippage_Timing</t>
  </si>
  <si>
    <t>Performance_Rating</t>
  </si>
  <si>
    <t>Comparison_to_Hemolok</t>
  </si>
  <si>
    <t>Intended_Purpose</t>
  </si>
  <si>
    <t>Benefit_Risk</t>
  </si>
  <si>
    <t>Completion_Date</t>
  </si>
  <si>
    <t>DEMO-001</t>
  </si>
  <si>
    <t>Dr. Minseo Kim</t>
  </si>
  <si>
    <t>South Korea</t>
  </si>
  <si>
    <t>Seoul Central Hospital</t>
  </si>
  <si>
    <t>PT-1001</t>
  </si>
  <si>
    <t>M</t>
  </si>
  <si>
    <t>&lt;6m</t>
  </si>
  <si>
    <t>Appendectomy</t>
  </si>
  <si>
    <t/>
  </si>
  <si>
    <t>Laparoscopic</t>
  </si>
  <si>
    <t>AAA-ML-2309B-01</t>
  </si>
  <si>
    <t>Yes – complete ligation</t>
  </si>
  <si>
    <t>Equivalent</t>
  </si>
  <si>
    <t>Benefits outweigh risks</t>
  </si>
  <si>
    <t>DEMO-002</t>
  </si>
  <si>
    <t>Dr. Lukas Weber</t>
  </si>
  <si>
    <t>Germany</t>
  </si>
  <si>
    <t>St. Marien Klinikum</t>
  </si>
  <si>
    <t>PT-1002</t>
  </si>
  <si>
    <t>&gt;3y</t>
  </si>
  <si>
    <t>Prostatectomy</t>
  </si>
  <si>
    <t>Robotic-assisted</t>
  </si>
  <si>
    <t>AAA-ML-2309C-02</t>
  </si>
  <si>
    <t>AAA-L-2309C-02</t>
  </si>
  <si>
    <t>AAA-XL-2309C-02</t>
  </si>
  <si>
    <t>Benefits greatly outweigh risks</t>
  </si>
  <si>
    <t>DEMO-003</t>
  </si>
  <si>
    <t>Dr. Elena García</t>
  </si>
  <si>
    <t>Spain</t>
  </si>
  <si>
    <t>Hospital Universitario Madrid Norte</t>
  </si>
  <si>
    <t>PT-1003</t>
  </si>
  <si>
    <t>6-12m</t>
  </si>
  <si>
    <t>Cholecystectomy</t>
  </si>
  <si>
    <t>AAA-ML-2207D-03</t>
  </si>
  <si>
    <t>AAA-L-2207D-03</t>
  </si>
  <si>
    <t>0</t>
  </si>
  <si>
    <t>DEMO-004</t>
  </si>
  <si>
    <t>Dr. Marco Rossi</t>
  </si>
  <si>
    <t>Italy</t>
  </si>
  <si>
    <t>Milano Surgical Center</t>
  </si>
  <si>
    <t>PT-1004</t>
  </si>
  <si>
    <t>F</t>
  </si>
  <si>
    <t>Open</t>
  </si>
  <si>
    <t>AAA-M-2207E-04</t>
  </si>
  <si>
    <t>AAA-ML-2207E-04</t>
  </si>
  <si>
    <t>Balanced</t>
  </si>
  <si>
    <t>DEMO-005</t>
  </si>
  <si>
    <t>Dr. Sophie Martin</t>
  </si>
  <si>
    <t>France</t>
  </si>
  <si>
    <t>Centre Hospitalier de Lyon</t>
  </si>
  <si>
    <t>PT-1005</t>
  </si>
  <si>
    <t>AAA-M-2304F-05</t>
  </si>
  <si>
    <t>AAA-ML-2304F-05</t>
  </si>
  <si>
    <t>Postoperative hemorrhage requiring return to OR within 6 hours; patient stabilized after re-clipping.</t>
  </si>
  <si>
    <t>1</t>
  </si>
  <si>
    <t>Laparoscopic re-clipping and transfusion.</t>
  </si>
  <si>
    <t>Partial – re-application needed</t>
  </si>
  <si>
    <t>Initial clip on cystic artery showed minor slippage; second application achieved hemostasis.</t>
  </si>
  <si>
    <t>Immediately post-application</t>
  </si>
  <si>
    <t>A little Inferior</t>
  </si>
  <si>
    <t>DEMO-006</t>
  </si>
  <si>
    <t>Dr. James Patel</t>
  </si>
  <si>
    <t>United Kingdom</t>
  </si>
  <si>
    <t>Midlands General Hospital</t>
  </si>
  <si>
    <t>PT-1006</t>
  </si>
  <si>
    <t>AAA-ML-2301A-06</t>
  </si>
  <si>
    <t>AAA-L-2301A-06</t>
  </si>
  <si>
    <t>DEMO-007</t>
  </si>
  <si>
    <t>Dr. Ana Souza</t>
  </si>
  <si>
    <t>Brazil</t>
  </si>
  <si>
    <t>São Paulo Digestive Institute</t>
  </si>
  <si>
    <t>PT-1007</t>
  </si>
  <si>
    <t>AAA-ML-2202B-07</t>
  </si>
  <si>
    <t>AAA-L-2202B-07</t>
  </si>
  <si>
    <t>A little Better</t>
  </si>
  <si>
    <t>DEMO-008</t>
  </si>
  <si>
    <t>Dr. David Chen</t>
  </si>
  <si>
    <t>Singapore</t>
  </si>
  <si>
    <t>Singapore Advanced Surgery Centre</t>
  </si>
  <si>
    <t>PT-1008</t>
  </si>
  <si>
    <t>AAA-ML-2402C-08</t>
  </si>
  <si>
    <t>AAA-L-2402C-08</t>
  </si>
  <si>
    <t>DEMO-009</t>
  </si>
  <si>
    <t>Dr. Noor Al Mansoori</t>
  </si>
  <si>
    <t>United Arab Emirates</t>
  </si>
  <si>
    <t>Abu Dhabi Specialty Hospital</t>
  </si>
  <si>
    <t>PT-1009</t>
  </si>
  <si>
    <t>1-3y</t>
  </si>
  <si>
    <t>AAA-ML-2304D-09</t>
  </si>
  <si>
    <t>AAA-L-2304D-09</t>
  </si>
  <si>
    <t>DEMO-010</t>
  </si>
  <si>
    <t>Dr. Camila Torres</t>
  </si>
  <si>
    <t>Mexico</t>
  </si>
  <si>
    <t>Monterrey Medical Center</t>
  </si>
  <si>
    <t>PT-1010</t>
  </si>
  <si>
    <t>AAA-ML-2204E-10</t>
  </si>
  <si>
    <t>AAA-L-2204E-10</t>
  </si>
  <si>
    <t>DEMO-011</t>
  </si>
  <si>
    <t>PT-1011</t>
  </si>
  <si>
    <t>AAA-ML-2409F-11</t>
  </si>
  <si>
    <t>AAA-L-2409F-11</t>
  </si>
  <si>
    <t>AAA-XL-2409F-11</t>
  </si>
  <si>
    <t>Observation and hemostatic support only; no return to OR.</t>
  </si>
  <si>
    <t>DEMO-012</t>
  </si>
  <si>
    <t>PT-1012</t>
  </si>
  <si>
    <t>AAA-M-2203A-12</t>
  </si>
  <si>
    <t>AAA-ML-2203A-12</t>
  </si>
  <si>
    <t>Radiologically</t>
  </si>
  <si>
    <t>Incidental asymptomatic clip migration on routine imaging; no intervention required.</t>
  </si>
  <si>
    <t>Postoperatively</t>
  </si>
  <si>
    <t>DEMO-013</t>
  </si>
  <si>
    <t>PT-1013</t>
  </si>
  <si>
    <t>Hysterectomy</t>
  </si>
  <si>
    <t>AAA-ML-2411B-13</t>
  </si>
  <si>
    <t>AAA-L-2411B-13</t>
  </si>
  <si>
    <t>AAA-XL-2411B-13</t>
  </si>
  <si>
    <t>DEMO-014</t>
  </si>
  <si>
    <t>PT-1014</t>
  </si>
  <si>
    <t>AAA-ML-2207C-14</t>
  </si>
  <si>
    <t>AAA-L-2207C-14</t>
  </si>
  <si>
    <t>DEMO-015</t>
  </si>
  <si>
    <t>PT-1015</t>
  </si>
  <si>
    <t>AAA-ML-2405D-15</t>
  </si>
  <si>
    <t>AAA-L-2405D-15</t>
  </si>
  <si>
    <t>AAA-XL-2405D-15</t>
  </si>
  <si>
    <t>One applicator trigger felt stiff; replacement applicator was used without patient harm.</t>
  </si>
  <si>
    <t>DEMO-016</t>
  </si>
  <si>
    <t>PT-1016</t>
  </si>
  <si>
    <t>AAA-ML-2407E-16</t>
  </si>
  <si>
    <t>AAA-L-2407E-16</t>
  </si>
  <si>
    <t>DEMO-017</t>
  </si>
  <si>
    <t>PT-1017</t>
  </si>
  <si>
    <t>AAA-ML-2308F-17</t>
  </si>
  <si>
    <t>AAA-L-2308F-17</t>
  </si>
  <si>
    <t>DEMO-018</t>
  </si>
  <si>
    <t>PT-1018</t>
  </si>
  <si>
    <t>AAA-ML-2207A-18</t>
  </si>
  <si>
    <t>AAA-L-2207A-18</t>
  </si>
  <si>
    <t>Hemodynamic instability related to postoperative bleeding; source not definitively linked to clip performance.</t>
  </si>
  <si>
    <t>9</t>
  </si>
  <si>
    <t>Open revision and cautery; likely multifactorial source.</t>
  </si>
  <si>
    <t>No – ligation failed</t>
  </si>
  <si>
    <t>Dense inflammatory tissue limited first placement; conversion to alternate hemostatic method.</t>
  </si>
  <si>
    <t>During application</t>
  </si>
  <si>
    <t>Very Inferior</t>
  </si>
  <si>
    <t>Risks outweigh benefits</t>
  </si>
  <si>
    <t>DEMO-019</t>
  </si>
  <si>
    <t>PT-1019</t>
  </si>
  <si>
    <t>AAA-ML-2405B-19</t>
  </si>
  <si>
    <t>AAA-L-2405B-19</t>
  </si>
  <si>
    <t>DEMO-020</t>
  </si>
  <si>
    <t>PT-1020</t>
  </si>
  <si>
    <t>O</t>
  </si>
  <si>
    <t>AAA-ML-2410C-20</t>
  </si>
  <si>
    <t>AAA-L-2410C-20</t>
  </si>
  <si>
    <t>Intraoperatively</t>
  </si>
  <si>
    <t>Minor displacement recognized during index procedure and corrected with immediate re-application.</t>
  </si>
  <si>
    <t>One XL clip rotated during closure; replaced successfully.</t>
  </si>
  <si>
    <t>Field</t>
  </si>
  <si>
    <t>Value</t>
  </si>
  <si>
    <t>Meaning</t>
  </si>
  <si>
    <t>Demo note</t>
  </si>
  <si>
    <t>All rows</t>
  </si>
  <si>
    <t>Synthetic fictional data for demonstration only</t>
  </si>
  <si>
    <t>Yes/No</t>
  </si>
  <si>
    <t>Yes</t>
  </si>
  <si>
    <t>No</t>
  </si>
  <si>
    <t>Unknown / Uncertain (used where applicable)</t>
  </si>
  <si>
    <t>Male</t>
  </si>
  <si>
    <t>Female</t>
  </si>
  <si>
    <t>Other</t>
  </si>
  <si>
    <t>Less than 6 months</t>
  </si>
  <si>
    <t>6 months to 1 year</t>
  </si>
  <si>
    <t>1 to 3 years</t>
  </si>
  <si>
    <t>More than 3 years</t>
  </si>
  <si>
    <t>5</t>
  </si>
  <si>
    <t>Excellent</t>
  </si>
  <si>
    <t>4</t>
  </si>
  <si>
    <t>Good</t>
  </si>
  <si>
    <t>3</t>
  </si>
  <si>
    <t>Satisfactory</t>
  </si>
  <si>
    <t>2</t>
  </si>
  <si>
    <t>Poor</t>
  </si>
  <si>
    <t>Unsure</t>
  </si>
  <si>
    <t>Very Superior</t>
  </si>
  <si>
    <t>Perceived much better than reference</t>
  </si>
  <si>
    <t>Perceived somewhat better than reference</t>
  </si>
  <si>
    <t>Perceived similar to reference</t>
  </si>
  <si>
    <t>Perceived somewhat worse than reference</t>
  </si>
  <si>
    <t>Perceived much worse than reference</t>
  </si>
  <si>
    <t>PMCF Demo Analysis Dashboard</t>
  </si>
  <si>
    <t>Synthetic example data loaded from Raw_Data (20 fictional responses)</t>
  </si>
  <si>
    <t>Key Metrics</t>
  </si>
  <si>
    <t>Performance Distribution</t>
  </si>
  <si>
    <t>Total Responses</t>
  </si>
  <si>
    <t>Score</t>
  </si>
  <si>
    <t>Count</t>
  </si>
  <si>
    <t>SAE Rate</t>
  </si>
  <si>
    <t>Hemorrhage Rate</t>
  </si>
  <si>
    <t>Infection Rate</t>
  </si>
  <si>
    <t>Migration Rate</t>
  </si>
  <si>
    <t>Misfiring Rate</t>
  </si>
  <si>
    <t>Slippage Rate</t>
  </si>
  <si>
    <t>First-pass Complete Ligation</t>
  </si>
  <si>
    <t>Follow-up Distribution</t>
  </si>
  <si>
    <t>Procedure Distribution</t>
  </si>
  <si>
    <t>Period</t>
  </si>
  <si>
    <t>Procedure</t>
  </si>
  <si>
    <t>Gastrectomy</t>
  </si>
  <si>
    <t>Intended Purpose Score Distribution</t>
  </si>
  <si>
    <r>
      <t>A</t>
    </r>
    <r>
      <rPr>
        <b/>
        <sz val="11"/>
        <color rgb="FFFFFFFF"/>
        <rFont val="Calibri"/>
        <family val="2"/>
      </rPr>
      <t>. General Information</t>
    </r>
    <phoneticPr fontId="6" type="noConversion"/>
  </si>
  <si>
    <r>
      <t>B</t>
    </r>
    <r>
      <rPr>
        <b/>
        <sz val="11"/>
        <color rgb="FFFFFFFF"/>
        <rFont val="Calibri"/>
        <family val="2"/>
      </rPr>
      <t>. Device Usage</t>
    </r>
    <phoneticPr fontId="6" type="noConversion"/>
  </si>
  <si>
    <r>
      <t>C</t>
    </r>
    <r>
      <rPr>
        <b/>
        <sz val="11"/>
        <color rgb="FFFFFFFF"/>
        <rFont val="Calibri"/>
        <family val="2"/>
      </rPr>
      <t>. Safety</t>
    </r>
    <phoneticPr fontId="6" type="noConversion"/>
  </si>
  <si>
    <r>
      <t>D</t>
    </r>
    <r>
      <rPr>
        <b/>
        <sz val="11"/>
        <color rgb="FFFFFFFF"/>
        <rFont val="Calibri"/>
        <family val="2"/>
      </rPr>
      <t>. Clinical Performance</t>
    </r>
    <phoneticPr fontId="6" type="noConversion"/>
  </si>
  <si>
    <r>
      <t>E</t>
    </r>
    <r>
      <rPr>
        <b/>
        <sz val="11"/>
        <color rgb="FFFFFFFF"/>
        <rFont val="Calibri"/>
        <family val="2"/>
      </rPr>
      <t>. Overall Clinial Assessment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</si>
</sst>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"/>
    <numFmt numFmtId="177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DC3E6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2" borderId="0" xfId="1" applyFont="1" applyFill="1" applyAlignment="1">
      <alignment horizontal="center" vertical="center"/>
    </xf>
    <xf numFmtId="1" fontId="0" fillId="0" borderId="0" xfId="1" applyNumberFormat="1" applyFont="1"/>
    <xf numFmtId="176" fontId="0" fillId="0" borderId="0" xfId="1" applyNumberFormat="1" applyFont="1"/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vertical="center"/>
    </xf>
    <xf numFmtId="0" fontId="0" fillId="0" borderId="0" xfId="1" applyFont="1" applyAlignment="1">
      <alignment vertical="center"/>
    </xf>
    <xf numFmtId="0" fontId="0" fillId="3" borderId="1" xfId="1" applyFont="1" applyFill="1" applyBorder="1" applyAlignment="1">
      <alignment vertical="center"/>
    </xf>
    <xf numFmtId="1" fontId="0" fillId="4" borderId="1" xfId="1" applyNumberFormat="1" applyFont="1" applyFill="1" applyBorder="1" applyAlignment="1">
      <alignment vertical="center"/>
    </xf>
    <xf numFmtId="0" fontId="0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177" fontId="0" fillId="4" borderId="1" xfId="1" applyNumberFormat="1" applyFont="1" applyFill="1" applyBorder="1" applyAlignment="1">
      <alignment vertical="center"/>
    </xf>
    <xf numFmtId="0" fontId="0" fillId="0" borderId="0" xfId="0"/>
    <xf numFmtId="0" fontId="7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3" fillId="0" borderId="0" xfId="1" applyFont="1"/>
    <xf numFmtId="0" fontId="0" fillId="0" borderId="0" xfId="0"/>
    <xf numFmtId="0" fontId="2" fillId="2" borderId="0" xfId="1" applyFont="1" applyFill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b5c79c0d288b4326" Type="http://schemas.microsoft.com/office/2017/10/relationships/person" Target="persons/person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10</xdr:col>
      <xdr:colOff>57150</xdr:colOff>
      <xdr:row>45</xdr:row>
      <xdr:rowOff>0</xdr:rowOff>
    </xdr:to>
    <xdr:sp macro="" textlink="">
      <xdr:nvSpPr>
        <xdr:cNvPr id="1026" name="Text Box 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57150</xdr:colOff>
      <xdr:row>45</xdr:row>
      <xdr:rowOff>0</xdr:rowOff>
    </xdr:to>
    <xdr:sp macro="" textlink="">
      <xdr:nvSpPr>
        <xdr:cNvPr id="2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57150</xdr:colOff>
      <xdr:row>44</xdr:row>
      <xdr:rowOff>0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57150</xdr:colOff>
      <xdr:row>45</xdr:row>
      <xdr:rowOff>0</xdr:rowOff>
    </xdr:to>
    <xdr:sp macro="" textlink="">
      <xdr:nvSpPr>
        <xdr:cNvPr id="4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57150</xdr:colOff>
      <xdr:row>44</xdr:row>
      <xdr:rowOff>0</xdr:rowOff>
    </xdr:to>
    <xdr:sp macro="" textlink="">
      <xdr:nvSpPr>
        <xdr:cNvPr id="5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F3FF1F0B-8B69-7BEF-0709-F3C6D4C287FE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22"/>
  <sheetViews>
    <sheetView tabSelected="1" topLeftCell="N2" workbookViewId="0">
      <selection activeCell="X14" sqref="X14"/>
    </sheetView>
  </sheetViews>
  <sheetFormatPr defaultRowHeight="15" x14ac:dyDescent="0.25"/>
  <cols>
    <col min="1" max="1" width="12" customWidth="1"/>
    <col min="2" max="2" width="20" customWidth="1"/>
    <col min="3" max="3" width="18" customWidth="1"/>
    <col min="4" max="4" width="28" customWidth="1"/>
    <col min="5" max="5" width="10" customWidth="1"/>
    <col min="6" max="6" width="12" customWidth="1"/>
    <col min="7" max="7" width="10" customWidth="1"/>
    <col min="8" max="8" width="8" customWidth="1"/>
    <col min="9" max="11" width="12" customWidth="1"/>
    <col min="12" max="13" width="18" customWidth="1"/>
    <col min="14" max="14" width="16" customWidth="1"/>
    <col min="15" max="15" width="9" customWidth="1"/>
    <col min="16" max="16" width="16" customWidth="1"/>
    <col min="17" max="17" width="9" customWidth="1"/>
    <col min="18" max="18" width="16" customWidth="1"/>
    <col min="19" max="19" width="9" customWidth="1"/>
    <col min="20" max="20" width="16" customWidth="1"/>
    <col min="21" max="21" width="9" customWidth="1"/>
    <col min="22" max="22" width="16" customWidth="1"/>
    <col min="23" max="23" width="8" customWidth="1"/>
    <col min="24" max="24" width="45" customWidth="1"/>
    <col min="25" max="25" width="10" customWidth="1"/>
    <col min="26" max="26" width="11" customWidth="1"/>
    <col min="27" max="27" width="32" customWidth="1"/>
    <col min="28" max="28" width="9" customWidth="1"/>
    <col min="29" max="29" width="11" customWidth="1"/>
    <col min="30" max="30" width="9" customWidth="1"/>
    <col min="31" max="31" width="16" customWidth="1"/>
    <col min="32" max="32" width="42" customWidth="1"/>
    <col min="33" max="33" width="24" customWidth="1"/>
    <col min="34" max="34" width="46" customWidth="1"/>
    <col min="35" max="36" width="9" customWidth="1"/>
    <col min="37" max="37" width="20" customWidth="1"/>
    <col min="38" max="38" width="12" customWidth="1"/>
    <col min="39" max="39" width="18" customWidth="1"/>
    <col min="40" max="40" width="16" customWidth="1"/>
    <col min="41" max="41" width="28" customWidth="1"/>
    <col min="42" max="42" width="12" customWidth="1"/>
  </cols>
  <sheetData>
    <row r="1" spans="1:42" s="12" customFormat="1" hidden="1" x14ac:dyDescent="0.25">
      <c r="A1" s="13" t="s">
        <v>252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3" t="s">
        <v>253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3" t="s">
        <v>254</v>
      </c>
      <c r="X1" s="14"/>
      <c r="Y1" s="14"/>
      <c r="Z1" s="14"/>
      <c r="AA1" s="14"/>
      <c r="AB1" s="14"/>
      <c r="AC1" s="14"/>
      <c r="AD1" s="14"/>
      <c r="AE1" s="14"/>
      <c r="AF1" s="14"/>
      <c r="AG1" s="13" t="s">
        <v>255</v>
      </c>
      <c r="AH1" s="14"/>
      <c r="AI1" s="14"/>
      <c r="AJ1" s="14"/>
      <c r="AK1" s="14"/>
      <c r="AL1" s="14"/>
      <c r="AM1" s="14"/>
      <c r="AN1" s="13" t="s">
        <v>256</v>
      </c>
      <c r="AO1" s="14"/>
      <c r="AP1" s="1"/>
    </row>
    <row r="2" spans="1:4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</row>
    <row r="3" spans="1:42" ht="20.100000000000001" customHeight="1" x14ac:dyDescent="0.25">
      <c r="A3" t="s">
        <v>42</v>
      </c>
      <c r="B3" t="s">
        <v>43</v>
      </c>
      <c r="C3" t="s">
        <v>44</v>
      </c>
      <c r="D3" t="s">
        <v>45</v>
      </c>
      <c r="E3" s="2">
        <v>10</v>
      </c>
      <c r="F3" t="s">
        <v>46</v>
      </c>
      <c r="G3" s="2">
        <v>1955</v>
      </c>
      <c r="H3" t="s">
        <v>47</v>
      </c>
      <c r="I3" s="3">
        <v>45170</v>
      </c>
      <c r="J3" s="3">
        <v>45246</v>
      </c>
      <c r="K3" t="s">
        <v>48</v>
      </c>
      <c r="L3" t="s">
        <v>49</v>
      </c>
      <c r="M3" t="s">
        <v>50</v>
      </c>
      <c r="N3" t="s">
        <v>51</v>
      </c>
      <c r="O3" s="2"/>
      <c r="P3" t="s">
        <v>50</v>
      </c>
      <c r="Q3" s="2">
        <v>2</v>
      </c>
      <c r="R3" t="s">
        <v>52</v>
      </c>
      <c r="S3" s="2"/>
      <c r="T3" t="s">
        <v>50</v>
      </c>
      <c r="U3" s="2"/>
      <c r="V3" t="s">
        <v>50</v>
      </c>
      <c r="W3">
        <v>0</v>
      </c>
      <c r="X3" t="s">
        <v>50</v>
      </c>
      <c r="Y3">
        <v>0</v>
      </c>
      <c r="Z3" t="s">
        <v>50</v>
      </c>
      <c r="AA3" t="s">
        <v>50</v>
      </c>
      <c r="AB3">
        <v>0</v>
      </c>
      <c r="AC3" t="s">
        <v>50</v>
      </c>
      <c r="AD3">
        <v>0</v>
      </c>
      <c r="AE3" t="s">
        <v>50</v>
      </c>
      <c r="AF3" t="s">
        <v>50</v>
      </c>
      <c r="AG3" t="s">
        <v>53</v>
      </c>
      <c r="AH3" t="s">
        <v>50</v>
      </c>
      <c r="AI3">
        <v>0</v>
      </c>
      <c r="AJ3">
        <v>0</v>
      </c>
      <c r="AK3" t="s">
        <v>50</v>
      </c>
      <c r="AL3" s="2">
        <v>5</v>
      </c>
      <c r="AM3" t="s">
        <v>54</v>
      </c>
      <c r="AN3" s="2">
        <v>4</v>
      </c>
      <c r="AO3" t="s">
        <v>55</v>
      </c>
      <c r="AP3" s="3">
        <v>45256</v>
      </c>
    </row>
    <row r="4" spans="1:42" ht="20.100000000000001" customHeight="1" x14ac:dyDescent="0.25">
      <c r="A4" t="s">
        <v>56</v>
      </c>
      <c r="B4" t="s">
        <v>57</v>
      </c>
      <c r="C4" t="s">
        <v>58</v>
      </c>
      <c r="D4" t="s">
        <v>59</v>
      </c>
      <c r="E4" s="2">
        <v>13</v>
      </c>
      <c r="F4" t="s">
        <v>60</v>
      </c>
      <c r="G4" s="2">
        <v>1959</v>
      </c>
      <c r="H4" t="s">
        <v>47</v>
      </c>
      <c r="I4" s="3">
        <v>45176</v>
      </c>
      <c r="J4" s="3">
        <v>46474</v>
      </c>
      <c r="K4" t="s">
        <v>61</v>
      </c>
      <c r="L4" t="s">
        <v>62</v>
      </c>
      <c r="M4" t="s">
        <v>50</v>
      </c>
      <c r="N4" t="s">
        <v>63</v>
      </c>
      <c r="O4" s="2"/>
      <c r="P4" t="s">
        <v>50</v>
      </c>
      <c r="Q4" s="2">
        <v>5</v>
      </c>
      <c r="R4" t="s">
        <v>64</v>
      </c>
      <c r="S4" s="2">
        <v>5</v>
      </c>
      <c r="T4" t="s">
        <v>65</v>
      </c>
      <c r="U4" s="2">
        <v>1</v>
      </c>
      <c r="V4" t="s">
        <v>66</v>
      </c>
      <c r="W4">
        <v>0</v>
      </c>
      <c r="X4" t="s">
        <v>50</v>
      </c>
      <c r="Y4">
        <v>0</v>
      </c>
      <c r="Z4" t="s">
        <v>50</v>
      </c>
      <c r="AA4" t="s">
        <v>50</v>
      </c>
      <c r="AB4">
        <v>0</v>
      </c>
      <c r="AC4" t="s">
        <v>50</v>
      </c>
      <c r="AD4">
        <v>0</v>
      </c>
      <c r="AE4" t="s">
        <v>50</v>
      </c>
      <c r="AF4" t="s">
        <v>50</v>
      </c>
      <c r="AG4" t="s">
        <v>53</v>
      </c>
      <c r="AH4" t="s">
        <v>50</v>
      </c>
      <c r="AI4">
        <v>0</v>
      </c>
      <c r="AJ4">
        <v>0</v>
      </c>
      <c r="AK4" t="s">
        <v>50</v>
      </c>
      <c r="AL4" s="2">
        <v>5</v>
      </c>
      <c r="AM4" t="s">
        <v>54</v>
      </c>
      <c r="AN4" s="2">
        <v>5</v>
      </c>
      <c r="AO4" t="s">
        <v>67</v>
      </c>
      <c r="AP4" s="3">
        <v>46479</v>
      </c>
    </row>
    <row r="5" spans="1:42" ht="20.100000000000001" customHeight="1" x14ac:dyDescent="0.25">
      <c r="A5" t="s">
        <v>68</v>
      </c>
      <c r="B5" t="s">
        <v>69</v>
      </c>
      <c r="C5" t="s">
        <v>70</v>
      </c>
      <c r="D5" t="s">
        <v>71</v>
      </c>
      <c r="E5" s="2">
        <v>10</v>
      </c>
      <c r="F5" t="s">
        <v>72</v>
      </c>
      <c r="G5" s="2">
        <v>1960</v>
      </c>
      <c r="H5" t="s">
        <v>47</v>
      </c>
      <c r="I5" s="3">
        <v>44768</v>
      </c>
      <c r="J5" s="3">
        <v>45033</v>
      </c>
      <c r="K5" t="s">
        <v>73</v>
      </c>
      <c r="L5" t="s">
        <v>74</v>
      </c>
      <c r="M5" t="s">
        <v>50</v>
      </c>
      <c r="N5" t="s">
        <v>63</v>
      </c>
      <c r="O5" s="2"/>
      <c r="P5" t="s">
        <v>50</v>
      </c>
      <c r="Q5" s="2">
        <v>6</v>
      </c>
      <c r="R5" t="s">
        <v>75</v>
      </c>
      <c r="S5" s="2">
        <v>1</v>
      </c>
      <c r="T5" t="s">
        <v>76</v>
      </c>
      <c r="U5" s="2"/>
      <c r="V5" t="s">
        <v>50</v>
      </c>
      <c r="W5">
        <v>0</v>
      </c>
      <c r="X5" t="s">
        <v>50</v>
      </c>
      <c r="Y5">
        <v>0</v>
      </c>
      <c r="Z5" t="s">
        <v>50</v>
      </c>
      <c r="AA5" t="s">
        <v>50</v>
      </c>
      <c r="AB5">
        <v>1</v>
      </c>
      <c r="AC5" t="s">
        <v>77</v>
      </c>
      <c r="AD5">
        <v>0</v>
      </c>
      <c r="AE5" t="s">
        <v>50</v>
      </c>
      <c r="AF5" t="s">
        <v>50</v>
      </c>
      <c r="AG5" t="s">
        <v>53</v>
      </c>
      <c r="AH5" t="s">
        <v>50</v>
      </c>
      <c r="AI5">
        <v>0</v>
      </c>
      <c r="AJ5">
        <v>0</v>
      </c>
      <c r="AK5" t="s">
        <v>50</v>
      </c>
      <c r="AL5" s="2">
        <v>4</v>
      </c>
      <c r="AM5" t="s">
        <v>54</v>
      </c>
      <c r="AN5" s="2">
        <v>5</v>
      </c>
      <c r="AO5" t="s">
        <v>67</v>
      </c>
      <c r="AP5" s="3">
        <v>45034</v>
      </c>
    </row>
    <row r="6" spans="1:42" ht="20.100000000000001" customHeight="1" x14ac:dyDescent="0.25">
      <c r="A6" t="s">
        <v>78</v>
      </c>
      <c r="B6" t="s">
        <v>79</v>
      </c>
      <c r="C6" t="s">
        <v>80</v>
      </c>
      <c r="D6" t="s">
        <v>81</v>
      </c>
      <c r="E6" s="2">
        <v>16</v>
      </c>
      <c r="F6" t="s">
        <v>82</v>
      </c>
      <c r="G6" s="2">
        <v>1968</v>
      </c>
      <c r="H6" t="s">
        <v>83</v>
      </c>
      <c r="I6" s="3">
        <v>44753</v>
      </c>
      <c r="J6" s="3">
        <v>44986</v>
      </c>
      <c r="K6" t="s">
        <v>73</v>
      </c>
      <c r="L6" t="s">
        <v>49</v>
      </c>
      <c r="M6" t="s">
        <v>50</v>
      </c>
      <c r="N6" t="s">
        <v>84</v>
      </c>
      <c r="O6" s="2">
        <v>2</v>
      </c>
      <c r="P6" t="s">
        <v>85</v>
      </c>
      <c r="Q6" s="2">
        <v>3</v>
      </c>
      <c r="R6" t="s">
        <v>86</v>
      </c>
      <c r="S6" s="2"/>
      <c r="T6" t="s">
        <v>50</v>
      </c>
      <c r="U6" s="2"/>
      <c r="V6" t="s">
        <v>50</v>
      </c>
      <c r="W6">
        <v>0</v>
      </c>
      <c r="X6" t="s">
        <v>50</v>
      </c>
      <c r="Y6">
        <v>0</v>
      </c>
      <c r="Z6" t="s">
        <v>50</v>
      </c>
      <c r="AA6" t="s">
        <v>50</v>
      </c>
      <c r="AB6">
        <v>0</v>
      </c>
      <c r="AC6" t="s">
        <v>50</v>
      </c>
      <c r="AD6">
        <v>0</v>
      </c>
      <c r="AE6" t="s">
        <v>50</v>
      </c>
      <c r="AF6" t="s">
        <v>50</v>
      </c>
      <c r="AG6" t="s">
        <v>53</v>
      </c>
      <c r="AH6" t="s">
        <v>50</v>
      </c>
      <c r="AI6">
        <v>0</v>
      </c>
      <c r="AJ6">
        <v>0</v>
      </c>
      <c r="AK6" t="s">
        <v>50</v>
      </c>
      <c r="AL6" s="2">
        <v>4</v>
      </c>
      <c r="AM6" t="s">
        <v>54</v>
      </c>
      <c r="AN6" s="2">
        <v>5</v>
      </c>
      <c r="AO6" t="s">
        <v>87</v>
      </c>
      <c r="AP6" s="3">
        <v>44988</v>
      </c>
    </row>
    <row r="7" spans="1:42" ht="20.100000000000001" customHeight="1" x14ac:dyDescent="0.25">
      <c r="A7" t="s">
        <v>88</v>
      </c>
      <c r="B7" t="s">
        <v>89</v>
      </c>
      <c r="C7" t="s">
        <v>90</v>
      </c>
      <c r="D7" t="s">
        <v>91</v>
      </c>
      <c r="E7" s="2">
        <v>10</v>
      </c>
      <c r="F7" t="s">
        <v>92</v>
      </c>
      <c r="G7" s="2">
        <v>1991</v>
      </c>
      <c r="H7" t="s">
        <v>47</v>
      </c>
      <c r="I7" s="3">
        <v>45042</v>
      </c>
      <c r="J7" s="3">
        <v>46388</v>
      </c>
      <c r="K7" t="s">
        <v>61</v>
      </c>
      <c r="L7" t="s">
        <v>49</v>
      </c>
      <c r="M7" t="s">
        <v>50</v>
      </c>
      <c r="N7" t="s">
        <v>84</v>
      </c>
      <c r="O7" s="2">
        <v>1</v>
      </c>
      <c r="P7" t="s">
        <v>93</v>
      </c>
      <c r="Q7" s="2">
        <v>4</v>
      </c>
      <c r="R7" t="s">
        <v>94</v>
      </c>
      <c r="S7" s="2"/>
      <c r="T7" t="s">
        <v>50</v>
      </c>
      <c r="U7" s="2"/>
      <c r="V7" t="s">
        <v>50</v>
      </c>
      <c r="W7">
        <v>1</v>
      </c>
      <c r="X7" t="s">
        <v>95</v>
      </c>
      <c r="Y7">
        <v>1</v>
      </c>
      <c r="Z7" t="s">
        <v>96</v>
      </c>
      <c r="AA7" t="s">
        <v>97</v>
      </c>
      <c r="AB7">
        <v>0</v>
      </c>
      <c r="AC7" t="s">
        <v>50</v>
      </c>
      <c r="AD7">
        <v>0</v>
      </c>
      <c r="AE7" t="s">
        <v>50</v>
      </c>
      <c r="AF7" t="s">
        <v>50</v>
      </c>
      <c r="AG7" t="s">
        <v>98</v>
      </c>
      <c r="AH7" t="s">
        <v>99</v>
      </c>
      <c r="AI7">
        <v>0</v>
      </c>
      <c r="AJ7">
        <v>1</v>
      </c>
      <c r="AK7" t="s">
        <v>100</v>
      </c>
      <c r="AL7" s="2">
        <v>3</v>
      </c>
      <c r="AM7" t="s">
        <v>101</v>
      </c>
      <c r="AN7" s="2">
        <v>3</v>
      </c>
      <c r="AO7" t="s">
        <v>55</v>
      </c>
      <c r="AP7" s="3">
        <v>46390</v>
      </c>
    </row>
    <row r="8" spans="1:42" ht="20.100000000000001" customHeight="1" x14ac:dyDescent="0.25">
      <c r="A8" t="s">
        <v>102</v>
      </c>
      <c r="B8" t="s">
        <v>103</v>
      </c>
      <c r="C8" t="s">
        <v>104</v>
      </c>
      <c r="D8" t="s">
        <v>105</v>
      </c>
      <c r="E8" s="2">
        <v>16</v>
      </c>
      <c r="F8" t="s">
        <v>106</v>
      </c>
      <c r="G8" s="2">
        <v>1954</v>
      </c>
      <c r="H8" t="s">
        <v>83</v>
      </c>
      <c r="I8" s="3">
        <v>44934</v>
      </c>
      <c r="J8" s="3">
        <v>46152</v>
      </c>
      <c r="K8" t="s">
        <v>61</v>
      </c>
      <c r="L8" t="s">
        <v>74</v>
      </c>
      <c r="M8" t="s">
        <v>50</v>
      </c>
      <c r="N8" t="s">
        <v>51</v>
      </c>
      <c r="O8" s="2"/>
      <c r="P8" t="s">
        <v>50</v>
      </c>
      <c r="Q8" s="2">
        <v>8</v>
      </c>
      <c r="R8" t="s">
        <v>107</v>
      </c>
      <c r="S8" s="2">
        <v>3</v>
      </c>
      <c r="T8" t="s">
        <v>108</v>
      </c>
      <c r="U8" s="2"/>
      <c r="V8" t="s">
        <v>50</v>
      </c>
      <c r="W8">
        <v>0</v>
      </c>
      <c r="X8" t="s">
        <v>50</v>
      </c>
      <c r="Y8">
        <v>0</v>
      </c>
      <c r="Z8" t="s">
        <v>50</v>
      </c>
      <c r="AA8" t="s">
        <v>50</v>
      </c>
      <c r="AB8">
        <v>0</v>
      </c>
      <c r="AC8" t="s">
        <v>50</v>
      </c>
      <c r="AD8">
        <v>0</v>
      </c>
      <c r="AE8" t="s">
        <v>50</v>
      </c>
      <c r="AF8" t="s">
        <v>50</v>
      </c>
      <c r="AG8" t="s">
        <v>53</v>
      </c>
      <c r="AH8" t="s">
        <v>50</v>
      </c>
      <c r="AI8">
        <v>0</v>
      </c>
      <c r="AJ8">
        <v>0</v>
      </c>
      <c r="AK8" t="s">
        <v>50</v>
      </c>
      <c r="AL8" s="2">
        <v>5</v>
      </c>
      <c r="AM8" t="s">
        <v>54</v>
      </c>
      <c r="AN8" s="2">
        <v>5</v>
      </c>
      <c r="AO8" t="s">
        <v>55</v>
      </c>
      <c r="AP8" s="3">
        <v>46161</v>
      </c>
    </row>
    <row r="9" spans="1:42" ht="20.100000000000001" customHeight="1" x14ac:dyDescent="0.25">
      <c r="A9" t="s">
        <v>109</v>
      </c>
      <c r="B9" t="s">
        <v>110</v>
      </c>
      <c r="C9" t="s">
        <v>111</v>
      </c>
      <c r="D9" t="s">
        <v>112</v>
      </c>
      <c r="E9" s="2">
        <v>9</v>
      </c>
      <c r="F9" t="s">
        <v>113</v>
      </c>
      <c r="G9" s="2">
        <v>1977</v>
      </c>
      <c r="H9" t="s">
        <v>83</v>
      </c>
      <c r="I9" s="3">
        <v>44613</v>
      </c>
      <c r="J9" s="3">
        <v>44870</v>
      </c>
      <c r="K9" t="s">
        <v>73</v>
      </c>
      <c r="L9" t="s">
        <v>74</v>
      </c>
      <c r="M9" t="s">
        <v>50</v>
      </c>
      <c r="N9" t="s">
        <v>51</v>
      </c>
      <c r="O9" s="2"/>
      <c r="P9" t="s">
        <v>50</v>
      </c>
      <c r="Q9" s="2">
        <v>6</v>
      </c>
      <c r="R9" t="s">
        <v>114</v>
      </c>
      <c r="S9" s="2">
        <v>2</v>
      </c>
      <c r="T9" t="s">
        <v>115</v>
      </c>
      <c r="U9" s="2"/>
      <c r="V9" t="s">
        <v>50</v>
      </c>
      <c r="W9">
        <v>0</v>
      </c>
      <c r="X9" t="s">
        <v>50</v>
      </c>
      <c r="Y9">
        <v>0</v>
      </c>
      <c r="Z9" t="s">
        <v>50</v>
      </c>
      <c r="AA9" t="s">
        <v>50</v>
      </c>
      <c r="AB9">
        <v>0</v>
      </c>
      <c r="AC9" t="s">
        <v>50</v>
      </c>
      <c r="AD9">
        <v>0</v>
      </c>
      <c r="AE9" t="s">
        <v>50</v>
      </c>
      <c r="AF9" t="s">
        <v>50</v>
      </c>
      <c r="AG9" t="s">
        <v>53</v>
      </c>
      <c r="AH9" t="s">
        <v>50</v>
      </c>
      <c r="AI9">
        <v>1</v>
      </c>
      <c r="AJ9">
        <v>0</v>
      </c>
      <c r="AK9" t="s">
        <v>50</v>
      </c>
      <c r="AL9" s="2">
        <v>4</v>
      </c>
      <c r="AM9" t="s">
        <v>116</v>
      </c>
      <c r="AN9" s="2">
        <v>4</v>
      </c>
      <c r="AO9" t="s">
        <v>67</v>
      </c>
      <c r="AP9" s="3">
        <v>44878</v>
      </c>
    </row>
    <row r="10" spans="1:42" ht="20.100000000000001" customHeight="1" x14ac:dyDescent="0.25">
      <c r="A10" t="s">
        <v>117</v>
      </c>
      <c r="B10" t="s">
        <v>118</v>
      </c>
      <c r="C10" t="s">
        <v>119</v>
      </c>
      <c r="D10" t="s">
        <v>120</v>
      </c>
      <c r="E10" s="2">
        <v>14</v>
      </c>
      <c r="F10" t="s">
        <v>121</v>
      </c>
      <c r="G10" s="2">
        <v>1988</v>
      </c>
      <c r="H10" t="s">
        <v>83</v>
      </c>
      <c r="I10" s="3">
        <v>45350</v>
      </c>
      <c r="J10" s="3">
        <v>45618</v>
      </c>
      <c r="K10" t="s">
        <v>73</v>
      </c>
      <c r="L10" t="s">
        <v>74</v>
      </c>
      <c r="M10" t="s">
        <v>50</v>
      </c>
      <c r="N10" t="s">
        <v>51</v>
      </c>
      <c r="O10" s="2"/>
      <c r="P10" t="s">
        <v>50</v>
      </c>
      <c r="Q10" s="2">
        <v>4</v>
      </c>
      <c r="R10" t="s">
        <v>122</v>
      </c>
      <c r="S10" s="2">
        <v>4</v>
      </c>
      <c r="T10" t="s">
        <v>123</v>
      </c>
      <c r="U10" s="2"/>
      <c r="V10" t="s">
        <v>50</v>
      </c>
      <c r="W10">
        <v>0</v>
      </c>
      <c r="X10" t="s">
        <v>50</v>
      </c>
      <c r="Y10">
        <v>0</v>
      </c>
      <c r="Z10" t="s">
        <v>50</v>
      </c>
      <c r="AA10" t="s">
        <v>50</v>
      </c>
      <c r="AB10">
        <v>0</v>
      </c>
      <c r="AC10" t="s">
        <v>50</v>
      </c>
      <c r="AD10">
        <v>0</v>
      </c>
      <c r="AE10" t="s">
        <v>50</v>
      </c>
      <c r="AF10" t="s">
        <v>50</v>
      </c>
      <c r="AG10" t="s">
        <v>53</v>
      </c>
      <c r="AH10" t="s">
        <v>50</v>
      </c>
      <c r="AI10">
        <v>0</v>
      </c>
      <c r="AJ10">
        <v>0</v>
      </c>
      <c r="AK10" t="s">
        <v>50</v>
      </c>
      <c r="AL10" s="2">
        <v>5</v>
      </c>
      <c r="AM10" t="s">
        <v>54</v>
      </c>
      <c r="AN10" s="2">
        <v>4</v>
      </c>
      <c r="AO10" t="s">
        <v>67</v>
      </c>
      <c r="AP10" s="3">
        <v>45627</v>
      </c>
    </row>
    <row r="11" spans="1:42" ht="20.100000000000001" customHeight="1" x14ac:dyDescent="0.25">
      <c r="A11" t="s">
        <v>124</v>
      </c>
      <c r="B11" t="s">
        <v>125</v>
      </c>
      <c r="C11" t="s">
        <v>126</v>
      </c>
      <c r="D11" t="s">
        <v>127</v>
      </c>
      <c r="E11" s="2">
        <v>11</v>
      </c>
      <c r="F11" t="s">
        <v>128</v>
      </c>
      <c r="G11" s="2">
        <v>1975</v>
      </c>
      <c r="H11" t="s">
        <v>47</v>
      </c>
      <c r="I11" s="3">
        <v>45018</v>
      </c>
      <c r="J11" s="3">
        <v>45846</v>
      </c>
      <c r="K11" t="s">
        <v>129</v>
      </c>
      <c r="L11" t="s">
        <v>62</v>
      </c>
      <c r="M11" t="s">
        <v>50</v>
      </c>
      <c r="N11" t="s">
        <v>51</v>
      </c>
      <c r="O11" s="2"/>
      <c r="P11" t="s">
        <v>50</v>
      </c>
      <c r="Q11" s="2">
        <v>7</v>
      </c>
      <c r="R11" t="s">
        <v>130</v>
      </c>
      <c r="S11" s="2">
        <v>7</v>
      </c>
      <c r="T11" t="s">
        <v>131</v>
      </c>
      <c r="U11" s="2"/>
      <c r="V11" t="s">
        <v>50</v>
      </c>
      <c r="W11">
        <v>0</v>
      </c>
      <c r="X11" t="s">
        <v>50</v>
      </c>
      <c r="Y11">
        <v>0</v>
      </c>
      <c r="Z11" t="s">
        <v>50</v>
      </c>
      <c r="AA11" t="s">
        <v>50</v>
      </c>
      <c r="AB11">
        <v>1</v>
      </c>
      <c r="AC11" t="s">
        <v>77</v>
      </c>
      <c r="AD11">
        <v>0</v>
      </c>
      <c r="AE11" t="s">
        <v>50</v>
      </c>
      <c r="AF11" t="s">
        <v>50</v>
      </c>
      <c r="AG11" t="s">
        <v>53</v>
      </c>
      <c r="AH11" t="s">
        <v>50</v>
      </c>
      <c r="AI11">
        <v>0</v>
      </c>
      <c r="AJ11">
        <v>0</v>
      </c>
      <c r="AK11" t="s">
        <v>50</v>
      </c>
      <c r="AL11" s="2">
        <v>4</v>
      </c>
      <c r="AM11" t="s">
        <v>54</v>
      </c>
      <c r="AN11" s="2">
        <v>4</v>
      </c>
      <c r="AO11" t="s">
        <v>67</v>
      </c>
      <c r="AP11" s="3">
        <v>45853</v>
      </c>
    </row>
    <row r="12" spans="1:42" ht="20.100000000000001" customHeight="1" x14ac:dyDescent="0.25">
      <c r="A12" t="s">
        <v>132</v>
      </c>
      <c r="B12" t="s">
        <v>133</v>
      </c>
      <c r="C12" t="s">
        <v>134</v>
      </c>
      <c r="D12" t="s">
        <v>135</v>
      </c>
      <c r="E12" s="2">
        <v>10</v>
      </c>
      <c r="F12" t="s">
        <v>136</v>
      </c>
      <c r="G12" s="2">
        <v>1990</v>
      </c>
      <c r="H12" t="s">
        <v>47</v>
      </c>
      <c r="I12" s="3">
        <v>44671</v>
      </c>
      <c r="J12" s="3">
        <v>44945</v>
      </c>
      <c r="K12" t="s">
        <v>73</v>
      </c>
      <c r="L12" t="s">
        <v>74</v>
      </c>
      <c r="M12" t="s">
        <v>50</v>
      </c>
      <c r="N12" t="s">
        <v>51</v>
      </c>
      <c r="O12" s="2"/>
      <c r="P12" t="s">
        <v>50</v>
      </c>
      <c r="Q12" s="2">
        <v>5</v>
      </c>
      <c r="R12" t="s">
        <v>137</v>
      </c>
      <c r="S12" s="2">
        <v>2</v>
      </c>
      <c r="T12" t="s">
        <v>138</v>
      </c>
      <c r="U12" s="2"/>
      <c r="V12" t="s">
        <v>50</v>
      </c>
      <c r="W12">
        <v>0</v>
      </c>
      <c r="X12" t="s">
        <v>50</v>
      </c>
      <c r="Y12">
        <v>0</v>
      </c>
      <c r="Z12" t="s">
        <v>50</v>
      </c>
      <c r="AA12" t="s">
        <v>50</v>
      </c>
      <c r="AB12">
        <v>0</v>
      </c>
      <c r="AC12" t="s">
        <v>50</v>
      </c>
      <c r="AD12">
        <v>0</v>
      </c>
      <c r="AE12" t="s">
        <v>50</v>
      </c>
      <c r="AF12" t="s">
        <v>50</v>
      </c>
      <c r="AG12" t="s">
        <v>53</v>
      </c>
      <c r="AH12" t="s">
        <v>50</v>
      </c>
      <c r="AI12">
        <v>0</v>
      </c>
      <c r="AJ12">
        <v>0</v>
      </c>
      <c r="AK12" t="s">
        <v>50</v>
      </c>
      <c r="AL12" s="2">
        <v>4</v>
      </c>
      <c r="AM12" t="s">
        <v>54</v>
      </c>
      <c r="AN12" s="2">
        <v>5</v>
      </c>
      <c r="AO12" t="s">
        <v>67</v>
      </c>
      <c r="AP12" s="3">
        <v>44949</v>
      </c>
    </row>
    <row r="13" spans="1:42" ht="20.100000000000001" customHeight="1" x14ac:dyDescent="0.25">
      <c r="A13" t="s">
        <v>139</v>
      </c>
      <c r="B13" t="s">
        <v>43</v>
      </c>
      <c r="C13" t="s">
        <v>44</v>
      </c>
      <c r="D13" t="s">
        <v>45</v>
      </c>
      <c r="E13" s="2">
        <v>13</v>
      </c>
      <c r="F13" t="s">
        <v>140</v>
      </c>
      <c r="G13" s="2">
        <v>1962</v>
      </c>
      <c r="H13" t="s">
        <v>47</v>
      </c>
      <c r="I13" s="3">
        <v>45563</v>
      </c>
      <c r="J13" s="3">
        <v>46698</v>
      </c>
      <c r="K13" t="s">
        <v>61</v>
      </c>
      <c r="L13" t="s">
        <v>62</v>
      </c>
      <c r="M13" t="s">
        <v>50</v>
      </c>
      <c r="N13" t="s">
        <v>63</v>
      </c>
      <c r="O13" s="2"/>
      <c r="P13" t="s">
        <v>50</v>
      </c>
      <c r="Q13" s="2">
        <v>3</v>
      </c>
      <c r="R13" t="s">
        <v>141</v>
      </c>
      <c r="S13" s="2">
        <v>5</v>
      </c>
      <c r="T13" t="s">
        <v>142</v>
      </c>
      <c r="U13" s="2">
        <v>2</v>
      </c>
      <c r="V13" t="s">
        <v>143</v>
      </c>
      <c r="W13">
        <v>0</v>
      </c>
      <c r="X13" t="s">
        <v>50</v>
      </c>
      <c r="Y13">
        <v>1</v>
      </c>
      <c r="Z13" t="s">
        <v>77</v>
      </c>
      <c r="AA13" t="s">
        <v>144</v>
      </c>
      <c r="AB13">
        <v>0</v>
      </c>
      <c r="AC13" t="s">
        <v>50</v>
      </c>
      <c r="AD13">
        <v>0</v>
      </c>
      <c r="AE13" t="s">
        <v>50</v>
      </c>
      <c r="AF13" t="s">
        <v>50</v>
      </c>
      <c r="AG13" t="s">
        <v>53</v>
      </c>
      <c r="AH13" t="s">
        <v>50</v>
      </c>
      <c r="AI13">
        <v>0</v>
      </c>
      <c r="AJ13">
        <v>0</v>
      </c>
      <c r="AK13" t="s">
        <v>50</v>
      </c>
      <c r="AL13" s="2">
        <v>5</v>
      </c>
      <c r="AM13" t="s">
        <v>116</v>
      </c>
      <c r="AN13" s="2">
        <v>3</v>
      </c>
      <c r="AO13" t="s">
        <v>55</v>
      </c>
      <c r="AP13" s="3">
        <v>46703</v>
      </c>
    </row>
    <row r="14" spans="1:42" ht="20.100000000000001" customHeight="1" x14ac:dyDescent="0.25">
      <c r="A14" t="s">
        <v>145</v>
      </c>
      <c r="B14" t="s">
        <v>57</v>
      </c>
      <c r="C14" t="s">
        <v>58</v>
      </c>
      <c r="D14" t="s">
        <v>59</v>
      </c>
      <c r="E14" s="2">
        <v>16</v>
      </c>
      <c r="F14" t="s">
        <v>146</v>
      </c>
      <c r="G14" s="2">
        <v>1970</v>
      </c>
      <c r="H14" t="s">
        <v>83</v>
      </c>
      <c r="I14" s="3">
        <v>44637</v>
      </c>
      <c r="J14" s="3">
        <v>45799</v>
      </c>
      <c r="K14" t="s">
        <v>61</v>
      </c>
      <c r="L14" t="s">
        <v>49</v>
      </c>
      <c r="M14" t="s">
        <v>50</v>
      </c>
      <c r="N14" t="s">
        <v>51</v>
      </c>
      <c r="O14" s="2">
        <v>2</v>
      </c>
      <c r="P14" t="s">
        <v>147</v>
      </c>
      <c r="Q14" s="2">
        <v>2</v>
      </c>
      <c r="R14" t="s">
        <v>148</v>
      </c>
      <c r="S14" s="2"/>
      <c r="T14" t="s">
        <v>50</v>
      </c>
      <c r="U14" s="2"/>
      <c r="V14" t="s">
        <v>50</v>
      </c>
      <c r="W14">
        <v>0</v>
      </c>
      <c r="X14" t="s">
        <v>50</v>
      </c>
      <c r="Y14">
        <v>0</v>
      </c>
      <c r="Z14" t="s">
        <v>50</v>
      </c>
      <c r="AA14" t="s">
        <v>50</v>
      </c>
      <c r="AB14">
        <v>0</v>
      </c>
      <c r="AC14" t="s">
        <v>50</v>
      </c>
      <c r="AD14">
        <v>1</v>
      </c>
      <c r="AE14" t="s">
        <v>149</v>
      </c>
      <c r="AF14" t="s">
        <v>150</v>
      </c>
      <c r="AG14" t="s">
        <v>53</v>
      </c>
      <c r="AH14" t="s">
        <v>50</v>
      </c>
      <c r="AI14">
        <v>0</v>
      </c>
      <c r="AJ14">
        <v>1</v>
      </c>
      <c r="AK14" t="s">
        <v>151</v>
      </c>
      <c r="AL14" s="2">
        <v>3</v>
      </c>
      <c r="AM14" t="s">
        <v>54</v>
      </c>
      <c r="AN14" s="2">
        <v>4</v>
      </c>
      <c r="AO14" t="s">
        <v>87</v>
      </c>
      <c r="AP14" s="3">
        <v>45806</v>
      </c>
    </row>
    <row r="15" spans="1:42" ht="20.100000000000001" customHeight="1" x14ac:dyDescent="0.25">
      <c r="A15" t="s">
        <v>152</v>
      </c>
      <c r="B15" t="s">
        <v>69</v>
      </c>
      <c r="C15" t="s">
        <v>70</v>
      </c>
      <c r="D15" t="s">
        <v>71</v>
      </c>
      <c r="E15" s="2">
        <v>11</v>
      </c>
      <c r="F15" t="s">
        <v>153</v>
      </c>
      <c r="G15" s="2">
        <v>1957</v>
      </c>
      <c r="H15" t="s">
        <v>47</v>
      </c>
      <c r="I15" s="3">
        <v>45603</v>
      </c>
      <c r="J15" s="3">
        <v>45667</v>
      </c>
      <c r="K15" t="s">
        <v>48</v>
      </c>
      <c r="L15" t="s">
        <v>154</v>
      </c>
      <c r="M15" t="s">
        <v>50</v>
      </c>
      <c r="N15" t="s">
        <v>84</v>
      </c>
      <c r="O15" s="2"/>
      <c r="P15" t="s">
        <v>50</v>
      </c>
      <c r="Q15" s="2">
        <v>3</v>
      </c>
      <c r="R15" t="s">
        <v>155</v>
      </c>
      <c r="S15" s="2">
        <v>8</v>
      </c>
      <c r="T15" t="s">
        <v>156</v>
      </c>
      <c r="U15" s="2">
        <v>1</v>
      </c>
      <c r="V15" t="s">
        <v>157</v>
      </c>
      <c r="W15">
        <v>0</v>
      </c>
      <c r="X15" t="s">
        <v>50</v>
      </c>
      <c r="Y15">
        <v>0</v>
      </c>
      <c r="Z15" t="s">
        <v>50</v>
      </c>
      <c r="AA15" t="s">
        <v>50</v>
      </c>
      <c r="AB15">
        <v>0</v>
      </c>
      <c r="AC15" t="s">
        <v>50</v>
      </c>
      <c r="AD15">
        <v>0</v>
      </c>
      <c r="AE15" t="s">
        <v>50</v>
      </c>
      <c r="AF15" t="s">
        <v>50</v>
      </c>
      <c r="AG15" t="s">
        <v>53</v>
      </c>
      <c r="AH15" t="s">
        <v>50</v>
      </c>
      <c r="AI15">
        <v>0</v>
      </c>
      <c r="AJ15">
        <v>0</v>
      </c>
      <c r="AK15" t="s">
        <v>50</v>
      </c>
      <c r="AL15" s="2">
        <v>4</v>
      </c>
      <c r="AM15" t="s">
        <v>101</v>
      </c>
      <c r="AN15" s="2">
        <v>4</v>
      </c>
      <c r="AO15" t="s">
        <v>67</v>
      </c>
      <c r="AP15" s="3">
        <v>45676</v>
      </c>
    </row>
    <row r="16" spans="1:42" ht="20.100000000000001" customHeight="1" x14ac:dyDescent="0.25">
      <c r="A16" t="s">
        <v>158</v>
      </c>
      <c r="B16" t="s">
        <v>79</v>
      </c>
      <c r="C16" t="s">
        <v>80</v>
      </c>
      <c r="D16" t="s">
        <v>81</v>
      </c>
      <c r="E16" s="2">
        <v>20</v>
      </c>
      <c r="F16" t="s">
        <v>159</v>
      </c>
      <c r="G16" s="2">
        <v>1959</v>
      </c>
      <c r="H16" t="s">
        <v>47</v>
      </c>
      <c r="I16" s="3">
        <v>44747</v>
      </c>
      <c r="J16" s="3">
        <v>44868</v>
      </c>
      <c r="K16" t="s">
        <v>48</v>
      </c>
      <c r="L16" t="s">
        <v>62</v>
      </c>
      <c r="M16" t="s">
        <v>50</v>
      </c>
      <c r="N16" t="s">
        <v>63</v>
      </c>
      <c r="O16" s="2"/>
      <c r="P16" t="s">
        <v>50</v>
      </c>
      <c r="Q16" s="2">
        <v>4</v>
      </c>
      <c r="R16" t="s">
        <v>160</v>
      </c>
      <c r="S16" s="2">
        <v>8</v>
      </c>
      <c r="T16" t="s">
        <v>161</v>
      </c>
      <c r="U16" s="2"/>
      <c r="V16" t="s">
        <v>50</v>
      </c>
      <c r="W16">
        <v>0</v>
      </c>
      <c r="X16" t="s">
        <v>50</v>
      </c>
      <c r="Y16">
        <v>0</v>
      </c>
      <c r="Z16" t="s">
        <v>50</v>
      </c>
      <c r="AA16" t="s">
        <v>50</v>
      </c>
      <c r="AB16">
        <v>0</v>
      </c>
      <c r="AC16" t="s">
        <v>50</v>
      </c>
      <c r="AD16">
        <v>0</v>
      </c>
      <c r="AE16" t="s">
        <v>50</v>
      </c>
      <c r="AF16" t="s">
        <v>50</v>
      </c>
      <c r="AG16" t="s">
        <v>53</v>
      </c>
      <c r="AH16" t="s">
        <v>50</v>
      </c>
      <c r="AI16">
        <v>0</v>
      </c>
      <c r="AJ16">
        <v>0</v>
      </c>
      <c r="AK16" t="s">
        <v>50</v>
      </c>
      <c r="AL16" s="2">
        <v>4</v>
      </c>
      <c r="AM16" t="s">
        <v>54</v>
      </c>
      <c r="AN16" s="2">
        <v>3</v>
      </c>
      <c r="AO16" t="s">
        <v>67</v>
      </c>
      <c r="AP16" s="3">
        <v>44877</v>
      </c>
    </row>
    <row r="17" spans="1:42" ht="20.100000000000001" customHeight="1" x14ac:dyDescent="0.25">
      <c r="A17" t="s">
        <v>162</v>
      </c>
      <c r="B17" t="s">
        <v>89</v>
      </c>
      <c r="C17" t="s">
        <v>90</v>
      </c>
      <c r="D17" t="s">
        <v>91</v>
      </c>
      <c r="E17" s="2">
        <v>7</v>
      </c>
      <c r="F17" t="s">
        <v>163</v>
      </c>
      <c r="G17" s="2">
        <v>1958</v>
      </c>
      <c r="H17" t="s">
        <v>47</v>
      </c>
      <c r="I17" s="3">
        <v>45417</v>
      </c>
      <c r="J17" s="3">
        <v>45478</v>
      </c>
      <c r="K17" t="s">
        <v>48</v>
      </c>
      <c r="L17" t="s">
        <v>154</v>
      </c>
      <c r="M17" t="s">
        <v>50</v>
      </c>
      <c r="N17" t="s">
        <v>51</v>
      </c>
      <c r="O17" s="2"/>
      <c r="P17" t="s">
        <v>50</v>
      </c>
      <c r="Q17" s="2">
        <v>2</v>
      </c>
      <c r="R17" t="s">
        <v>164</v>
      </c>
      <c r="S17" s="2">
        <v>8</v>
      </c>
      <c r="T17" t="s">
        <v>165</v>
      </c>
      <c r="U17" s="2">
        <v>3</v>
      </c>
      <c r="V17" t="s">
        <v>166</v>
      </c>
      <c r="W17">
        <v>0</v>
      </c>
      <c r="X17" t="s">
        <v>50</v>
      </c>
      <c r="Y17">
        <v>0</v>
      </c>
      <c r="Z17" t="s">
        <v>50</v>
      </c>
      <c r="AA17" t="s">
        <v>50</v>
      </c>
      <c r="AB17">
        <v>0</v>
      </c>
      <c r="AC17" t="s">
        <v>50</v>
      </c>
      <c r="AD17">
        <v>0</v>
      </c>
      <c r="AE17" t="s">
        <v>50</v>
      </c>
      <c r="AF17" t="s">
        <v>50</v>
      </c>
      <c r="AG17" t="s">
        <v>98</v>
      </c>
      <c r="AH17" t="s">
        <v>167</v>
      </c>
      <c r="AI17">
        <v>1</v>
      </c>
      <c r="AJ17">
        <v>0</v>
      </c>
      <c r="AK17" t="s">
        <v>50</v>
      </c>
      <c r="AL17" s="2">
        <v>3</v>
      </c>
      <c r="AM17" t="s">
        <v>101</v>
      </c>
      <c r="AN17" s="2">
        <v>3</v>
      </c>
      <c r="AO17" t="s">
        <v>55</v>
      </c>
      <c r="AP17" s="3">
        <v>45478</v>
      </c>
    </row>
    <row r="18" spans="1:42" ht="20.100000000000001" customHeight="1" x14ac:dyDescent="0.25">
      <c r="A18" t="s">
        <v>168</v>
      </c>
      <c r="B18" t="s">
        <v>103</v>
      </c>
      <c r="C18" t="s">
        <v>104</v>
      </c>
      <c r="D18" t="s">
        <v>105</v>
      </c>
      <c r="E18" s="2">
        <v>13</v>
      </c>
      <c r="F18" t="s">
        <v>169</v>
      </c>
      <c r="G18" s="2">
        <v>1970</v>
      </c>
      <c r="H18" t="s">
        <v>47</v>
      </c>
      <c r="I18" s="3">
        <v>45504</v>
      </c>
      <c r="J18" s="3">
        <v>45655</v>
      </c>
      <c r="K18" t="s">
        <v>48</v>
      </c>
      <c r="L18" t="s">
        <v>74</v>
      </c>
      <c r="M18" t="s">
        <v>50</v>
      </c>
      <c r="N18" t="s">
        <v>51</v>
      </c>
      <c r="O18" s="2"/>
      <c r="P18" t="s">
        <v>50</v>
      </c>
      <c r="Q18" s="2">
        <v>6</v>
      </c>
      <c r="R18" t="s">
        <v>170</v>
      </c>
      <c r="S18" s="2">
        <v>1</v>
      </c>
      <c r="T18" t="s">
        <v>171</v>
      </c>
      <c r="U18" s="2"/>
      <c r="V18" t="s">
        <v>50</v>
      </c>
      <c r="W18">
        <v>0</v>
      </c>
      <c r="X18" t="s">
        <v>50</v>
      </c>
      <c r="Y18">
        <v>0</v>
      </c>
      <c r="Z18" t="s">
        <v>50</v>
      </c>
      <c r="AA18" t="s">
        <v>50</v>
      </c>
      <c r="AB18">
        <v>0</v>
      </c>
      <c r="AC18" t="s">
        <v>50</v>
      </c>
      <c r="AD18">
        <v>0</v>
      </c>
      <c r="AE18" t="s">
        <v>50</v>
      </c>
      <c r="AF18" t="s">
        <v>50</v>
      </c>
      <c r="AG18" t="s">
        <v>53</v>
      </c>
      <c r="AH18" t="s">
        <v>50</v>
      </c>
      <c r="AI18">
        <v>0</v>
      </c>
      <c r="AJ18">
        <v>0</v>
      </c>
      <c r="AK18" t="s">
        <v>50</v>
      </c>
      <c r="AL18" s="2">
        <v>5</v>
      </c>
      <c r="AM18" t="s">
        <v>54</v>
      </c>
      <c r="AN18" s="2">
        <v>5</v>
      </c>
      <c r="AO18" t="s">
        <v>55</v>
      </c>
      <c r="AP18" s="3">
        <v>45665</v>
      </c>
    </row>
    <row r="19" spans="1:42" ht="20.100000000000001" customHeight="1" x14ac:dyDescent="0.25">
      <c r="A19" t="s">
        <v>172</v>
      </c>
      <c r="B19" t="s">
        <v>110</v>
      </c>
      <c r="C19" t="s">
        <v>111</v>
      </c>
      <c r="D19" t="s">
        <v>112</v>
      </c>
      <c r="E19" s="2">
        <v>8</v>
      </c>
      <c r="F19" t="s">
        <v>173</v>
      </c>
      <c r="G19" s="2">
        <v>1975</v>
      </c>
      <c r="H19" t="s">
        <v>83</v>
      </c>
      <c r="I19" s="3">
        <v>45147</v>
      </c>
      <c r="J19" s="3">
        <v>45256</v>
      </c>
      <c r="K19" t="s">
        <v>48</v>
      </c>
      <c r="L19" t="s">
        <v>74</v>
      </c>
      <c r="M19" t="s">
        <v>50</v>
      </c>
      <c r="N19" t="s">
        <v>51</v>
      </c>
      <c r="O19" s="2"/>
      <c r="P19" t="s">
        <v>50</v>
      </c>
      <c r="Q19" s="2">
        <v>6</v>
      </c>
      <c r="R19" t="s">
        <v>174</v>
      </c>
      <c r="S19" s="2">
        <v>1</v>
      </c>
      <c r="T19" t="s">
        <v>175</v>
      </c>
      <c r="U19" s="2"/>
      <c r="V19" t="s">
        <v>50</v>
      </c>
      <c r="W19">
        <v>0</v>
      </c>
      <c r="X19" t="s">
        <v>50</v>
      </c>
      <c r="Y19">
        <v>0</v>
      </c>
      <c r="Z19" t="s">
        <v>50</v>
      </c>
      <c r="AA19" t="s">
        <v>50</v>
      </c>
      <c r="AB19">
        <v>0</v>
      </c>
      <c r="AC19" t="s">
        <v>50</v>
      </c>
      <c r="AD19">
        <v>0</v>
      </c>
      <c r="AE19" t="s">
        <v>50</v>
      </c>
      <c r="AF19" t="s">
        <v>50</v>
      </c>
      <c r="AG19" t="s">
        <v>53</v>
      </c>
      <c r="AH19" t="s">
        <v>50</v>
      </c>
      <c r="AI19">
        <v>0</v>
      </c>
      <c r="AJ19">
        <v>0</v>
      </c>
      <c r="AK19" t="s">
        <v>50</v>
      </c>
      <c r="AL19" s="2">
        <v>4</v>
      </c>
      <c r="AM19" t="s">
        <v>116</v>
      </c>
      <c r="AN19" s="2">
        <v>4</v>
      </c>
      <c r="AO19" t="s">
        <v>55</v>
      </c>
      <c r="AP19" s="3">
        <v>45257</v>
      </c>
    </row>
    <row r="20" spans="1:42" ht="20.100000000000001" customHeight="1" x14ac:dyDescent="0.25">
      <c r="A20" t="s">
        <v>176</v>
      </c>
      <c r="B20" t="s">
        <v>118</v>
      </c>
      <c r="C20" t="s">
        <v>119</v>
      </c>
      <c r="D20" t="s">
        <v>120</v>
      </c>
      <c r="E20" s="2">
        <v>16</v>
      </c>
      <c r="F20" t="s">
        <v>177</v>
      </c>
      <c r="G20" s="2">
        <v>1977</v>
      </c>
      <c r="H20" t="s">
        <v>83</v>
      </c>
      <c r="I20" s="3">
        <v>44761</v>
      </c>
      <c r="J20" s="3">
        <v>45739</v>
      </c>
      <c r="K20" t="s">
        <v>129</v>
      </c>
      <c r="L20" t="s">
        <v>62</v>
      </c>
      <c r="M20" t="s">
        <v>50</v>
      </c>
      <c r="N20" t="s">
        <v>51</v>
      </c>
      <c r="O20" s="2"/>
      <c r="P20" t="s">
        <v>50</v>
      </c>
      <c r="Q20" s="2">
        <v>7</v>
      </c>
      <c r="R20" t="s">
        <v>178</v>
      </c>
      <c r="S20" s="2">
        <v>5</v>
      </c>
      <c r="T20" t="s">
        <v>179</v>
      </c>
      <c r="U20" s="2"/>
      <c r="V20" t="s">
        <v>50</v>
      </c>
      <c r="W20">
        <v>1</v>
      </c>
      <c r="X20" t="s">
        <v>180</v>
      </c>
      <c r="Y20">
        <v>1</v>
      </c>
      <c r="Z20" t="s">
        <v>181</v>
      </c>
      <c r="AA20" t="s">
        <v>182</v>
      </c>
      <c r="AB20">
        <v>1</v>
      </c>
      <c r="AC20" t="s">
        <v>181</v>
      </c>
      <c r="AD20">
        <v>0</v>
      </c>
      <c r="AE20" t="s">
        <v>50</v>
      </c>
      <c r="AF20" t="s">
        <v>50</v>
      </c>
      <c r="AG20" t="s">
        <v>183</v>
      </c>
      <c r="AH20" t="s">
        <v>184</v>
      </c>
      <c r="AI20">
        <v>1</v>
      </c>
      <c r="AJ20">
        <v>1</v>
      </c>
      <c r="AK20" t="s">
        <v>185</v>
      </c>
      <c r="AL20" s="2">
        <v>2</v>
      </c>
      <c r="AM20" t="s">
        <v>186</v>
      </c>
      <c r="AN20" s="2">
        <v>2</v>
      </c>
      <c r="AO20" t="s">
        <v>187</v>
      </c>
      <c r="AP20" s="3">
        <v>45748</v>
      </c>
    </row>
    <row r="21" spans="1:42" ht="20.100000000000001" customHeight="1" x14ac:dyDescent="0.25">
      <c r="A21" t="s">
        <v>188</v>
      </c>
      <c r="B21" t="s">
        <v>125</v>
      </c>
      <c r="C21" t="s">
        <v>126</v>
      </c>
      <c r="D21" t="s">
        <v>127</v>
      </c>
      <c r="E21" s="2">
        <v>13</v>
      </c>
      <c r="F21" t="s">
        <v>189</v>
      </c>
      <c r="G21" s="2">
        <v>1980</v>
      </c>
      <c r="H21" t="s">
        <v>83</v>
      </c>
      <c r="I21" s="3">
        <v>45439</v>
      </c>
      <c r="J21" s="3">
        <v>45668</v>
      </c>
      <c r="K21" t="s">
        <v>73</v>
      </c>
      <c r="L21" t="s">
        <v>74</v>
      </c>
      <c r="M21" t="s">
        <v>50</v>
      </c>
      <c r="N21" t="s">
        <v>51</v>
      </c>
      <c r="O21" s="2"/>
      <c r="P21" t="s">
        <v>50</v>
      </c>
      <c r="Q21" s="2">
        <v>4</v>
      </c>
      <c r="R21" t="s">
        <v>190</v>
      </c>
      <c r="S21" s="2">
        <v>2</v>
      </c>
      <c r="T21" t="s">
        <v>191</v>
      </c>
      <c r="U21" s="2"/>
      <c r="V21" t="s">
        <v>50</v>
      </c>
      <c r="W21">
        <v>0</v>
      </c>
      <c r="X21" t="s">
        <v>50</v>
      </c>
      <c r="Y21">
        <v>0</v>
      </c>
      <c r="Z21" t="s">
        <v>50</v>
      </c>
      <c r="AA21" t="s">
        <v>50</v>
      </c>
      <c r="AB21">
        <v>0</v>
      </c>
      <c r="AC21" t="s">
        <v>50</v>
      </c>
      <c r="AD21">
        <v>0</v>
      </c>
      <c r="AE21" t="s">
        <v>50</v>
      </c>
      <c r="AF21" t="s">
        <v>50</v>
      </c>
      <c r="AG21" t="s">
        <v>53</v>
      </c>
      <c r="AH21" t="s">
        <v>50</v>
      </c>
      <c r="AI21">
        <v>0</v>
      </c>
      <c r="AJ21">
        <v>0</v>
      </c>
      <c r="AK21" t="s">
        <v>50</v>
      </c>
      <c r="AL21" s="2">
        <v>3</v>
      </c>
      <c r="AM21" t="s">
        <v>54</v>
      </c>
      <c r="AN21" s="2">
        <v>3</v>
      </c>
      <c r="AO21" t="s">
        <v>55</v>
      </c>
      <c r="AP21" s="3">
        <v>45670</v>
      </c>
    </row>
    <row r="22" spans="1:42" ht="20.100000000000001" customHeight="1" x14ac:dyDescent="0.25">
      <c r="A22" t="s">
        <v>192</v>
      </c>
      <c r="B22" t="s">
        <v>133</v>
      </c>
      <c r="C22" t="s">
        <v>134</v>
      </c>
      <c r="D22" t="s">
        <v>135</v>
      </c>
      <c r="E22" s="2">
        <v>8</v>
      </c>
      <c r="F22" t="s">
        <v>193</v>
      </c>
      <c r="G22" s="2">
        <v>1958</v>
      </c>
      <c r="H22" t="s">
        <v>194</v>
      </c>
      <c r="I22" s="3">
        <v>45570</v>
      </c>
      <c r="J22" s="3">
        <v>46461</v>
      </c>
      <c r="K22" t="s">
        <v>129</v>
      </c>
      <c r="L22" t="s">
        <v>74</v>
      </c>
      <c r="M22" t="s">
        <v>50</v>
      </c>
      <c r="N22" t="s">
        <v>84</v>
      </c>
      <c r="O22" s="2"/>
      <c r="P22" t="s">
        <v>50</v>
      </c>
      <c r="Q22" s="2">
        <v>7</v>
      </c>
      <c r="R22" t="s">
        <v>195</v>
      </c>
      <c r="S22" s="2">
        <v>3</v>
      </c>
      <c r="T22" t="s">
        <v>196</v>
      </c>
      <c r="U22" s="2"/>
      <c r="V22" t="s">
        <v>50</v>
      </c>
      <c r="W22">
        <v>0</v>
      </c>
      <c r="X22" t="s">
        <v>50</v>
      </c>
      <c r="Y22">
        <v>0</v>
      </c>
      <c r="Z22" t="s">
        <v>50</v>
      </c>
      <c r="AA22" t="s">
        <v>50</v>
      </c>
      <c r="AB22">
        <v>0</v>
      </c>
      <c r="AC22" t="s">
        <v>50</v>
      </c>
      <c r="AD22">
        <v>1</v>
      </c>
      <c r="AE22" t="s">
        <v>197</v>
      </c>
      <c r="AF22" t="s">
        <v>198</v>
      </c>
      <c r="AG22" t="s">
        <v>98</v>
      </c>
      <c r="AH22" t="s">
        <v>199</v>
      </c>
      <c r="AI22">
        <v>0</v>
      </c>
      <c r="AJ22">
        <v>1</v>
      </c>
      <c r="AK22" t="s">
        <v>185</v>
      </c>
      <c r="AL22" s="2">
        <v>3</v>
      </c>
      <c r="AM22" t="s">
        <v>101</v>
      </c>
      <c r="AN22" s="2">
        <v>3</v>
      </c>
      <c r="AO22" t="s">
        <v>55</v>
      </c>
      <c r="AP22" s="3">
        <v>46464</v>
      </c>
    </row>
  </sheetData>
  <mergeCells count="5">
    <mergeCell ref="A1:K1"/>
    <mergeCell ref="L1:V1"/>
    <mergeCell ref="W1:AF1"/>
    <mergeCell ref="AG1:AM1"/>
    <mergeCell ref="AN1:AO1"/>
  </mergeCells>
  <phoneticPr fontId="6" type="noConversion"/>
  <dataValidations count="3">
    <dataValidation type="list" allowBlank="1" sqref="W3:W501 Y3:Y501 AB3:AB501 AD3:AD501">
      <formula1>"1,0"</formula1>
    </dataValidation>
    <dataValidation type="list" allowBlank="1" sqref="H3:H501">
      <formula1>"M,F,O"</formula1>
    </dataValidation>
    <dataValidation type="list" allowBlank="1" sqref="K3:K501">
      <formula1>"&lt;6m,6-12m,1-3y,&gt;3y"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/>
  </sheetViews>
  <sheetFormatPr defaultRowHeight="15" x14ac:dyDescent="0.25"/>
  <cols>
    <col min="1" max="1" width="22" customWidth="1"/>
    <col min="2" max="2" width="18" customWidth="1"/>
    <col min="3" max="3" width="50" customWidth="1"/>
  </cols>
  <sheetData>
    <row r="1" spans="1:3" x14ac:dyDescent="0.25">
      <c r="A1" s="4" t="s">
        <v>200</v>
      </c>
      <c r="B1" s="4" t="s">
        <v>201</v>
      </c>
      <c r="C1" s="4" t="s">
        <v>202</v>
      </c>
    </row>
    <row r="2" spans="1:3" x14ac:dyDescent="0.25">
      <c r="A2" t="s">
        <v>200</v>
      </c>
      <c r="B2" t="s">
        <v>201</v>
      </c>
      <c r="C2" t="s">
        <v>202</v>
      </c>
    </row>
    <row r="3" spans="1:3" x14ac:dyDescent="0.25">
      <c r="A3" t="s">
        <v>203</v>
      </c>
      <c r="B3" t="s">
        <v>204</v>
      </c>
      <c r="C3" t="s">
        <v>205</v>
      </c>
    </row>
    <row r="4" spans="1:3" x14ac:dyDescent="0.25">
      <c r="A4" t="s">
        <v>206</v>
      </c>
      <c r="B4" t="s">
        <v>96</v>
      </c>
      <c r="C4" t="s">
        <v>207</v>
      </c>
    </row>
    <row r="5" spans="1:3" x14ac:dyDescent="0.25">
      <c r="A5" t="s">
        <v>206</v>
      </c>
      <c r="B5" t="s">
        <v>77</v>
      </c>
      <c r="C5" t="s">
        <v>208</v>
      </c>
    </row>
    <row r="6" spans="1:3" x14ac:dyDescent="0.25">
      <c r="A6" t="s">
        <v>206</v>
      </c>
      <c r="B6" t="s">
        <v>181</v>
      </c>
      <c r="C6" t="s">
        <v>209</v>
      </c>
    </row>
    <row r="7" spans="1:3" x14ac:dyDescent="0.25">
      <c r="A7" t="s">
        <v>7</v>
      </c>
      <c r="B7" t="s">
        <v>47</v>
      </c>
      <c r="C7" t="s">
        <v>210</v>
      </c>
    </row>
    <row r="8" spans="1:3" x14ac:dyDescent="0.25">
      <c r="A8" t="s">
        <v>7</v>
      </c>
      <c r="B8" t="s">
        <v>83</v>
      </c>
      <c r="C8" t="s">
        <v>211</v>
      </c>
    </row>
    <row r="9" spans="1:3" x14ac:dyDescent="0.25">
      <c r="A9" t="s">
        <v>7</v>
      </c>
      <c r="B9" t="s">
        <v>194</v>
      </c>
      <c r="C9" t="s">
        <v>212</v>
      </c>
    </row>
    <row r="10" spans="1:3" x14ac:dyDescent="0.25">
      <c r="A10" t="s">
        <v>10</v>
      </c>
      <c r="B10" t="s">
        <v>48</v>
      </c>
      <c r="C10" t="s">
        <v>213</v>
      </c>
    </row>
    <row r="11" spans="1:3" x14ac:dyDescent="0.25">
      <c r="A11" t="s">
        <v>10</v>
      </c>
      <c r="B11" t="s">
        <v>73</v>
      </c>
      <c r="C11" t="s">
        <v>214</v>
      </c>
    </row>
    <row r="12" spans="1:3" x14ac:dyDescent="0.25">
      <c r="A12" t="s">
        <v>10</v>
      </c>
      <c r="B12" t="s">
        <v>129</v>
      </c>
      <c r="C12" t="s">
        <v>215</v>
      </c>
    </row>
    <row r="13" spans="1:3" x14ac:dyDescent="0.25">
      <c r="A13" t="s">
        <v>10</v>
      </c>
      <c r="B13" t="s">
        <v>61</v>
      </c>
      <c r="C13" t="s">
        <v>216</v>
      </c>
    </row>
    <row r="14" spans="1:3" x14ac:dyDescent="0.25">
      <c r="A14" t="s">
        <v>37</v>
      </c>
      <c r="B14" t="s">
        <v>217</v>
      </c>
      <c r="C14" t="s">
        <v>218</v>
      </c>
    </row>
    <row r="15" spans="1:3" x14ac:dyDescent="0.25">
      <c r="A15" t="s">
        <v>37</v>
      </c>
      <c r="B15" t="s">
        <v>219</v>
      </c>
      <c r="C15" t="s">
        <v>220</v>
      </c>
    </row>
    <row r="16" spans="1:3" x14ac:dyDescent="0.25">
      <c r="A16" t="s">
        <v>37</v>
      </c>
      <c r="B16" t="s">
        <v>221</v>
      </c>
      <c r="C16" t="s">
        <v>222</v>
      </c>
    </row>
    <row r="17" spans="1:3" x14ac:dyDescent="0.25">
      <c r="A17" t="s">
        <v>37</v>
      </c>
      <c r="B17" t="s">
        <v>223</v>
      </c>
      <c r="C17" t="s">
        <v>224</v>
      </c>
    </row>
    <row r="18" spans="1:3" x14ac:dyDescent="0.25">
      <c r="A18" t="s">
        <v>37</v>
      </c>
      <c r="B18" t="s">
        <v>96</v>
      </c>
      <c r="C18" t="s">
        <v>225</v>
      </c>
    </row>
    <row r="19" spans="1:3" x14ac:dyDescent="0.25">
      <c r="A19" t="s">
        <v>39</v>
      </c>
      <c r="B19" t="s">
        <v>217</v>
      </c>
      <c r="C19" t="s">
        <v>218</v>
      </c>
    </row>
    <row r="20" spans="1:3" x14ac:dyDescent="0.25">
      <c r="A20" t="s">
        <v>39</v>
      </c>
      <c r="B20" t="s">
        <v>219</v>
      </c>
      <c r="C20" t="s">
        <v>220</v>
      </c>
    </row>
    <row r="21" spans="1:3" x14ac:dyDescent="0.25">
      <c r="A21" t="s">
        <v>39</v>
      </c>
      <c r="B21" t="s">
        <v>221</v>
      </c>
      <c r="C21" t="s">
        <v>222</v>
      </c>
    </row>
    <row r="22" spans="1:3" x14ac:dyDescent="0.25">
      <c r="A22" t="s">
        <v>39</v>
      </c>
      <c r="B22" t="s">
        <v>223</v>
      </c>
      <c r="C22" t="s">
        <v>224</v>
      </c>
    </row>
    <row r="23" spans="1:3" x14ac:dyDescent="0.25">
      <c r="A23" t="s">
        <v>39</v>
      </c>
      <c r="B23" t="s">
        <v>96</v>
      </c>
      <c r="C23" t="s">
        <v>225</v>
      </c>
    </row>
    <row r="24" spans="1:3" x14ac:dyDescent="0.25">
      <c r="A24" t="s">
        <v>38</v>
      </c>
      <c r="B24" t="s">
        <v>226</v>
      </c>
      <c r="C24" t="s">
        <v>227</v>
      </c>
    </row>
    <row r="25" spans="1:3" x14ac:dyDescent="0.25">
      <c r="A25" t="s">
        <v>38</v>
      </c>
      <c r="B25" t="s">
        <v>116</v>
      </c>
      <c r="C25" t="s">
        <v>228</v>
      </c>
    </row>
    <row r="26" spans="1:3" x14ac:dyDescent="0.25">
      <c r="A26" t="s">
        <v>38</v>
      </c>
      <c r="B26" t="s">
        <v>54</v>
      </c>
      <c r="C26" t="s">
        <v>229</v>
      </c>
    </row>
    <row r="27" spans="1:3" x14ac:dyDescent="0.25">
      <c r="A27" t="s">
        <v>38</v>
      </c>
      <c r="B27" t="s">
        <v>101</v>
      </c>
      <c r="C27" t="s">
        <v>230</v>
      </c>
    </row>
    <row r="28" spans="1:3" x14ac:dyDescent="0.25">
      <c r="A28" t="s">
        <v>38</v>
      </c>
      <c r="B28" t="s">
        <v>186</v>
      </c>
      <c r="C28" t="s">
        <v>231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3" customWidth="1"/>
    <col min="4" max="4" width="22" customWidth="1"/>
    <col min="5" max="5" width="20" customWidth="1"/>
    <col min="6" max="6" width="12" customWidth="1"/>
  </cols>
  <sheetData>
    <row r="1" spans="1:7" ht="21" x14ac:dyDescent="0.35">
      <c r="A1" s="17" t="s">
        <v>232</v>
      </c>
      <c r="B1" s="16"/>
      <c r="C1" s="16"/>
      <c r="D1" s="16"/>
      <c r="E1" s="16"/>
      <c r="F1" s="16"/>
      <c r="G1" s="16"/>
    </row>
    <row r="2" spans="1:7" x14ac:dyDescent="0.25">
      <c r="A2" s="15" t="s">
        <v>233</v>
      </c>
      <c r="B2" s="16"/>
      <c r="C2" s="16"/>
      <c r="D2" s="16"/>
      <c r="E2" s="16"/>
      <c r="F2" s="16"/>
      <c r="G2" s="16"/>
    </row>
    <row r="4" spans="1:7" ht="20.100000000000001" customHeight="1" x14ac:dyDescent="0.25">
      <c r="A4" s="5" t="s">
        <v>234</v>
      </c>
      <c r="B4" s="6"/>
      <c r="C4" s="6"/>
      <c r="D4" s="5" t="s">
        <v>235</v>
      </c>
      <c r="E4" s="6"/>
      <c r="F4" s="6"/>
    </row>
    <row r="5" spans="1:7" ht="20.100000000000001" customHeight="1" x14ac:dyDescent="0.25">
      <c r="A5" s="7" t="s">
        <v>236</v>
      </c>
      <c r="B5" s="8">
        <f>COUNTA(Raw_Data!A3:A1001)</f>
        <v>20</v>
      </c>
      <c r="C5" s="9"/>
      <c r="D5" s="10" t="s">
        <v>237</v>
      </c>
      <c r="E5" s="10" t="s">
        <v>202</v>
      </c>
      <c r="F5" s="10" t="s">
        <v>238</v>
      </c>
    </row>
    <row r="6" spans="1:7" ht="20.100000000000001" customHeight="1" x14ac:dyDescent="0.25">
      <c r="A6" s="7" t="s">
        <v>239</v>
      </c>
      <c r="B6" s="11">
        <f>IFERROR(COUNTIF(Raw_Data!W3:W1001,1)/COUNTA(Raw_Data!A3:A1001),0)</f>
        <v>0.1</v>
      </c>
      <c r="C6" s="9"/>
      <c r="D6" s="9">
        <v>5</v>
      </c>
      <c r="E6" s="9" t="s">
        <v>218</v>
      </c>
      <c r="F6" s="9">
        <f>COUNTIF(Raw_Data!AL3:AL1001,D6)</f>
        <v>6</v>
      </c>
    </row>
    <row r="7" spans="1:7" ht="20.100000000000001" customHeight="1" x14ac:dyDescent="0.25">
      <c r="A7" s="7" t="s">
        <v>240</v>
      </c>
      <c r="B7" s="11">
        <f>IFERROR(COUNTIF(Raw_Data!Y3:Y1001,1)/COUNTA(Raw_Data!A3:A1001),0)</f>
        <v>0.15</v>
      </c>
      <c r="C7" s="9"/>
      <c r="D7" s="9">
        <v>4</v>
      </c>
      <c r="E7" s="9" t="s">
        <v>220</v>
      </c>
      <c r="F7" s="9">
        <f>COUNTIF(Raw_Data!AL3:AL1001,D7)</f>
        <v>8</v>
      </c>
    </row>
    <row r="8" spans="1:7" ht="20.100000000000001" customHeight="1" x14ac:dyDescent="0.25">
      <c r="A8" s="7" t="s">
        <v>241</v>
      </c>
      <c r="B8" s="11">
        <f>IFERROR(COUNTIF(Raw_Data!AB3:AB1001,1)/COUNTA(Raw_Data!A3:A1001),0)</f>
        <v>0.15</v>
      </c>
      <c r="C8" s="9"/>
      <c r="D8" s="9">
        <v>3</v>
      </c>
      <c r="E8" s="9" t="s">
        <v>222</v>
      </c>
      <c r="F8" s="9">
        <f>COUNTIF(Raw_Data!AL3:AL1001,D8)</f>
        <v>5</v>
      </c>
    </row>
    <row r="9" spans="1:7" ht="20.100000000000001" customHeight="1" x14ac:dyDescent="0.25">
      <c r="A9" s="7" t="s">
        <v>242</v>
      </c>
      <c r="B9" s="11">
        <f>IFERROR(COUNTIF(Raw_Data!AD3:AD1001,1)/COUNTA(Raw_Data!A3:A1001),0)</f>
        <v>0.1</v>
      </c>
      <c r="C9" s="9"/>
      <c r="D9" s="9">
        <v>2</v>
      </c>
      <c r="E9" s="9" t="s">
        <v>224</v>
      </c>
      <c r="F9" s="9">
        <f>COUNTIF(Raw_Data!AL3:AL1001,D9)</f>
        <v>1</v>
      </c>
    </row>
    <row r="10" spans="1:7" ht="20.100000000000001" customHeight="1" x14ac:dyDescent="0.25">
      <c r="A10" s="7" t="s">
        <v>243</v>
      </c>
      <c r="B10" s="11">
        <f>IFERROR(COUNTIF(Raw_Data!AI3:AI1001,1)/COUNTA(Raw_Data!A3:A1001),0)</f>
        <v>0.15</v>
      </c>
      <c r="C10" s="9"/>
      <c r="D10" s="9">
        <v>1</v>
      </c>
      <c r="E10" s="9" t="s">
        <v>225</v>
      </c>
      <c r="F10" s="9">
        <f>COUNTIF(Raw_Data!AL3:AL1001,D10)</f>
        <v>0</v>
      </c>
    </row>
    <row r="11" spans="1:7" ht="20.100000000000001" customHeight="1" x14ac:dyDescent="0.25">
      <c r="A11" s="7" t="s">
        <v>244</v>
      </c>
      <c r="B11" s="11">
        <f>IFERROR(COUNTIF(Raw_Data!AJ3:AJ1001,1)/COUNTA(Raw_Data!A3:A1001),0)</f>
        <v>0.2</v>
      </c>
      <c r="C11" s="9"/>
      <c r="D11" s="9"/>
      <c r="E11" s="9"/>
      <c r="F11" s="9"/>
    </row>
    <row r="12" spans="1:7" ht="20.100000000000001" customHeight="1" x14ac:dyDescent="0.25">
      <c r="A12" s="7" t="s">
        <v>245</v>
      </c>
      <c r="B12" s="11">
        <f>IFERROR(COUNTIF(Raw_Data!AG3:AG1001,"Yes – complete ligation")/COUNTA(Raw_Data!A3:A1001),0)</f>
        <v>0.8</v>
      </c>
      <c r="C12" s="9"/>
      <c r="D12" s="9"/>
      <c r="E12" s="9"/>
      <c r="F12" s="9"/>
    </row>
    <row r="13" spans="1:7" ht="20.100000000000001" customHeight="1" x14ac:dyDescent="0.25">
      <c r="A13" s="9"/>
      <c r="B13" s="9"/>
      <c r="C13" s="9"/>
      <c r="D13" s="9"/>
      <c r="E13" s="9"/>
      <c r="F13" s="9"/>
    </row>
    <row r="14" spans="1:7" ht="20.100000000000001" customHeight="1" x14ac:dyDescent="0.25">
      <c r="A14" s="9"/>
      <c r="B14" s="9"/>
      <c r="C14" s="9"/>
      <c r="D14" s="9"/>
      <c r="E14" s="9"/>
      <c r="F14" s="9"/>
    </row>
    <row r="15" spans="1:7" ht="20.100000000000001" customHeight="1" x14ac:dyDescent="0.25">
      <c r="A15" s="5" t="s">
        <v>246</v>
      </c>
      <c r="B15" s="6"/>
      <c r="C15" s="6"/>
      <c r="D15" s="5" t="s">
        <v>247</v>
      </c>
      <c r="E15" s="6"/>
      <c r="F15" s="6"/>
    </row>
    <row r="16" spans="1:7" ht="20.100000000000001" customHeight="1" x14ac:dyDescent="0.25">
      <c r="A16" s="9" t="s">
        <v>248</v>
      </c>
      <c r="B16" s="9" t="s">
        <v>238</v>
      </c>
      <c r="C16" s="9"/>
      <c r="D16" s="9" t="s">
        <v>249</v>
      </c>
      <c r="E16" s="9" t="s">
        <v>238</v>
      </c>
      <c r="F16" s="9"/>
    </row>
    <row r="17" spans="1:6" ht="20.100000000000001" customHeight="1" x14ac:dyDescent="0.25">
      <c r="A17" s="9" t="s">
        <v>48</v>
      </c>
      <c r="B17" s="9">
        <f>SUMPRODUCT(--(Raw_Data!K3:K1001=A17))</f>
        <v>6</v>
      </c>
      <c r="C17" s="9"/>
      <c r="D17" s="9" t="s">
        <v>74</v>
      </c>
      <c r="E17" s="9">
        <f>COUNTIF(Raw_Data!L3:L1001,D17)</f>
        <v>9</v>
      </c>
      <c r="F17" s="9"/>
    </row>
    <row r="18" spans="1:6" ht="20.100000000000001" customHeight="1" x14ac:dyDescent="0.25">
      <c r="A18" s="9" t="s">
        <v>73</v>
      </c>
      <c r="B18" s="9">
        <f>SUMPRODUCT(--(Raw_Data!K3:K1001=A18))</f>
        <v>6</v>
      </c>
      <c r="C18" s="9"/>
      <c r="D18" s="9" t="s">
        <v>62</v>
      </c>
      <c r="E18" s="9">
        <f>COUNTIF(Raw_Data!L3:L1001,D18)</f>
        <v>5</v>
      </c>
      <c r="F18" s="9"/>
    </row>
    <row r="19" spans="1:6" ht="20.100000000000001" customHeight="1" x14ac:dyDescent="0.25">
      <c r="A19" s="9" t="s">
        <v>129</v>
      </c>
      <c r="B19" s="9">
        <f>SUMPRODUCT(--(Raw_Data!K3:K1001=A19))</f>
        <v>3</v>
      </c>
      <c r="C19" s="9"/>
      <c r="D19" s="9" t="s">
        <v>49</v>
      </c>
      <c r="E19" s="9">
        <f>COUNTIF(Raw_Data!L3:L1001,D19)</f>
        <v>4</v>
      </c>
      <c r="F19" s="9"/>
    </row>
    <row r="20" spans="1:6" ht="20.100000000000001" customHeight="1" x14ac:dyDescent="0.25">
      <c r="A20" s="9" t="s">
        <v>61</v>
      </c>
      <c r="B20" s="9">
        <f>SUMPRODUCT(--(Raw_Data!K3:K1001=A20))</f>
        <v>5</v>
      </c>
      <c r="C20" s="9"/>
      <c r="D20" s="9" t="s">
        <v>154</v>
      </c>
      <c r="E20" s="9">
        <f>COUNTIF(Raw_Data!L3:L1001,D20)</f>
        <v>2</v>
      </c>
      <c r="F20" s="9"/>
    </row>
    <row r="21" spans="1:6" ht="20.100000000000001" customHeight="1" x14ac:dyDescent="0.25">
      <c r="A21" s="9"/>
      <c r="B21" s="9"/>
      <c r="C21" s="9"/>
      <c r="D21" s="9" t="s">
        <v>250</v>
      </c>
      <c r="E21" s="9">
        <f>COUNTIF(Raw_Data!L3:L1001,D21)</f>
        <v>0</v>
      </c>
      <c r="F21" s="9"/>
    </row>
    <row r="22" spans="1:6" ht="20.100000000000001" customHeight="1" x14ac:dyDescent="0.25">
      <c r="A22" s="9"/>
      <c r="B22" s="9"/>
      <c r="C22" s="9"/>
      <c r="D22" s="9" t="s">
        <v>212</v>
      </c>
      <c r="E22" s="9">
        <f>COUNTIF(Raw_Data!L3:L1001,D22)</f>
        <v>0</v>
      </c>
      <c r="F22" s="9"/>
    </row>
    <row r="23" spans="1:6" ht="20.100000000000001" customHeight="1" x14ac:dyDescent="0.25">
      <c r="A23" s="5" t="s">
        <v>251</v>
      </c>
      <c r="B23" s="6"/>
      <c r="C23" s="6"/>
      <c r="D23" s="6"/>
      <c r="E23" s="6"/>
      <c r="F23" s="6"/>
    </row>
    <row r="24" spans="1:6" ht="20.100000000000001" customHeight="1" x14ac:dyDescent="0.25">
      <c r="A24" s="9" t="s">
        <v>237</v>
      </c>
      <c r="B24" s="9" t="s">
        <v>238</v>
      </c>
      <c r="C24" s="9"/>
      <c r="D24" s="9"/>
      <c r="E24" s="9"/>
      <c r="F24" s="9"/>
    </row>
    <row r="25" spans="1:6" ht="20.100000000000001" customHeight="1" x14ac:dyDescent="0.25">
      <c r="A25" s="9">
        <v>5</v>
      </c>
      <c r="B25" s="9">
        <f>COUNTIF(Raw_Data!AN3:AN1001,A25)</f>
        <v>6</v>
      </c>
      <c r="C25" s="9"/>
      <c r="D25" s="9"/>
      <c r="E25" s="9"/>
      <c r="F25" s="9"/>
    </row>
    <row r="26" spans="1:6" ht="20.100000000000001" customHeight="1" x14ac:dyDescent="0.25">
      <c r="A26" s="9">
        <v>4</v>
      </c>
      <c r="B26" s="9">
        <f>COUNTIF(Raw_Data!AN3:AN1001,A26)</f>
        <v>7</v>
      </c>
      <c r="C26" s="9"/>
      <c r="D26" s="9"/>
      <c r="E26" s="9"/>
      <c r="F26" s="9"/>
    </row>
    <row r="27" spans="1:6" ht="20.100000000000001" customHeight="1" x14ac:dyDescent="0.25">
      <c r="A27" s="9">
        <v>3</v>
      </c>
      <c r="B27" s="9">
        <f>COUNTIF(Raw_Data!AN3:AN1001,A27)</f>
        <v>6</v>
      </c>
      <c r="C27" s="9"/>
      <c r="D27" s="9"/>
      <c r="E27" s="9"/>
      <c r="F27" s="9"/>
    </row>
    <row r="28" spans="1:6" ht="20.100000000000001" customHeight="1" x14ac:dyDescent="0.25">
      <c r="A28" s="9">
        <v>2</v>
      </c>
      <c r="B28" s="9">
        <f>COUNTIF(Raw_Data!AN3:AN1001,A28)</f>
        <v>1</v>
      </c>
      <c r="C28" s="9"/>
      <c r="D28" s="9"/>
      <c r="E28" s="9"/>
      <c r="F28" s="9"/>
    </row>
    <row r="29" spans="1:6" ht="20.100000000000001" customHeight="1" x14ac:dyDescent="0.25">
      <c r="A29" s="9">
        <v>1</v>
      </c>
      <c r="B29" s="9">
        <f>COUNTIF(Raw_Data!AN3:AN1001,A29)</f>
        <v>0</v>
      </c>
      <c r="C29" s="9"/>
      <c r="D29" s="9"/>
      <c r="E29" s="9"/>
      <c r="F29" s="9"/>
    </row>
  </sheetData>
  <mergeCells count="2">
    <mergeCell ref="A2:G2"/>
    <mergeCell ref="A1:G1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Raw_Data</vt:lpstr>
      <vt:lpstr>Codebook</vt:lpstr>
      <vt:lpstr>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김은선</dc:creator>
  <cp:lastModifiedBy>김은선</cp:lastModifiedBy>
  <dcterms:created xsi:type="dcterms:W3CDTF">2026-03-23T01:06:32Z</dcterms:created>
  <dcterms:modified xsi:type="dcterms:W3CDTF">2026-03-25T02:07:24Z</dcterms:modified>
</cp:coreProperties>
</file>